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ysten\桌面\"/>
    </mc:Choice>
  </mc:AlternateContent>
  <xr:revisionPtr revIDLastSave="0" documentId="13_ncr:1_{F22C2CDE-E08D-40D4-965A-1F1D37B3195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Sheet1!$B$1:$E$129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8" i="1" l="1"/>
  <c r="D8" i="1"/>
  <c r="D19" i="1"/>
  <c r="D7" i="1"/>
  <c r="D42" i="1"/>
  <c r="D103" i="1"/>
  <c r="D113" i="1"/>
  <c r="D76" i="1"/>
  <c r="D85" i="1"/>
  <c r="D82" i="1"/>
  <c r="D118" i="1"/>
  <c r="D121" i="1"/>
  <c r="D90" i="1"/>
  <c r="D97" i="1"/>
  <c r="D95" i="1"/>
  <c r="D54" i="1"/>
  <c r="D47" i="1"/>
  <c r="D60" i="1"/>
  <c r="D92" i="1"/>
  <c r="D101" i="1"/>
  <c r="D102" i="1"/>
  <c r="D124" i="1"/>
  <c r="D100" i="1"/>
  <c r="D69" i="1"/>
  <c r="D55" i="1"/>
  <c r="D21" i="1"/>
  <c r="D12" i="1"/>
  <c r="D20" i="1"/>
  <c r="D50" i="1"/>
  <c r="D64" i="1"/>
  <c r="D51" i="1"/>
  <c r="D72" i="1"/>
  <c r="D71" i="1"/>
  <c r="D65" i="1"/>
  <c r="D37" i="1"/>
  <c r="D5" i="1"/>
  <c r="D23" i="1"/>
  <c r="D35" i="1"/>
  <c r="D22" i="1"/>
  <c r="D32" i="1"/>
  <c r="D114" i="1"/>
  <c r="D93" i="1"/>
  <c r="D98" i="1"/>
  <c r="D78" i="1"/>
  <c r="D116" i="1"/>
  <c r="D120" i="1"/>
  <c r="D91" i="1"/>
  <c r="D99" i="1"/>
  <c r="D84" i="1"/>
  <c r="D48" i="1"/>
  <c r="D53" i="1"/>
  <c r="D46" i="1"/>
  <c r="D87" i="1"/>
  <c r="D94" i="1"/>
  <c r="D89" i="1"/>
  <c r="D108" i="1"/>
  <c r="D43" i="1"/>
  <c r="D49" i="1"/>
  <c r="D36" i="1"/>
  <c r="D14" i="1"/>
  <c r="D2" i="1"/>
  <c r="D9" i="1"/>
  <c r="D15" i="1"/>
  <c r="D10" i="1"/>
  <c r="D33" i="1"/>
  <c r="D11" i="1"/>
  <c r="D3" i="1"/>
  <c r="D4" i="1"/>
  <c r="D17" i="1"/>
  <c r="D67" i="1"/>
  <c r="D62" i="1"/>
  <c r="D56" i="1"/>
  <c r="D34" i="1"/>
  <c r="D18" i="1"/>
  <c r="D25" i="1"/>
  <c r="D74" i="1"/>
  <c r="D77" i="1"/>
  <c r="D52" i="1"/>
  <c r="D81" i="1"/>
  <c r="D86" i="1"/>
  <c r="D75" i="1"/>
  <c r="D41" i="1"/>
  <c r="D28" i="1"/>
  <c r="D13" i="1"/>
  <c r="D44" i="1"/>
  <c r="D27" i="1"/>
  <c r="D40" i="1"/>
  <c r="D125" i="1"/>
  <c r="D112" i="1"/>
  <c r="D115" i="1"/>
  <c r="D117" i="1"/>
  <c r="D127" i="1"/>
  <c r="D107" i="1"/>
  <c r="D58" i="1"/>
  <c r="D66" i="1"/>
  <c r="D57" i="1"/>
  <c r="D30" i="1"/>
  <c r="E30" i="1" s="1"/>
  <c r="D16" i="1"/>
  <c r="E16" i="1"/>
  <c r="D26" i="1"/>
  <c r="D61" i="1"/>
  <c r="D73" i="1"/>
  <c r="D63" i="1"/>
  <c r="D79" i="1"/>
  <c r="D83" i="1"/>
  <c r="D80" i="1"/>
  <c r="D39" i="1"/>
  <c r="D24" i="1"/>
  <c r="D6" i="1"/>
  <c r="D31" i="1"/>
  <c r="D45" i="1"/>
  <c r="D29" i="1"/>
  <c r="D38" i="1"/>
  <c r="D119" i="1"/>
  <c r="D88" i="1"/>
  <c r="D96" i="1"/>
  <c r="D122" i="1"/>
  <c r="D123" i="1"/>
  <c r="D105" i="1" l="1"/>
  <c r="D110" i="1"/>
  <c r="D106" i="1"/>
  <c r="D70" i="1"/>
  <c r="D59" i="1"/>
  <c r="D126" i="1"/>
  <c r="D104" i="1"/>
  <c r="D111" i="1"/>
  <c r="D109" i="1"/>
  <c r="E109" i="1"/>
  <c r="L13" i="1"/>
  <c r="L4" i="1"/>
  <c r="L5" i="1"/>
  <c r="L6" i="1"/>
  <c r="L7" i="1"/>
  <c r="L8" i="1"/>
  <c r="L9" i="1"/>
  <c r="L10" i="1"/>
  <c r="L11" i="1"/>
  <c r="L12" i="1"/>
  <c r="L3" i="1"/>
  <c r="E85" i="1" l="1"/>
  <c r="E7" i="1"/>
  <c r="E42" i="1"/>
  <c r="E82" i="1"/>
  <c r="E113" i="1"/>
  <c r="E76" i="1"/>
  <c r="E90" i="1"/>
  <c r="E121" i="1"/>
  <c r="E47" i="1"/>
  <c r="E95" i="1"/>
  <c r="E118" i="1"/>
  <c r="E100" i="1"/>
  <c r="E92" i="1"/>
  <c r="E68" i="1"/>
  <c r="E60" i="1"/>
  <c r="E101" i="1"/>
  <c r="E102" i="1"/>
  <c r="E44" i="1"/>
  <c r="E55" i="1"/>
  <c r="E20" i="1"/>
  <c r="E64" i="1"/>
  <c r="E51" i="1"/>
  <c r="E37" i="1"/>
  <c r="E69" i="1"/>
  <c r="E50" i="1"/>
  <c r="E21" i="1"/>
  <c r="E35" i="1"/>
  <c r="E12" i="1"/>
  <c r="E19" i="1"/>
  <c r="E71" i="1"/>
  <c r="E93" i="1"/>
  <c r="E72" i="1"/>
  <c r="E5" i="1"/>
  <c r="E65" i="1"/>
  <c r="E23" i="1"/>
  <c r="E22" i="1"/>
  <c r="E32" i="1"/>
  <c r="E48" i="1"/>
  <c r="E116" i="1"/>
  <c r="E46" i="1"/>
  <c r="E98" i="1"/>
  <c r="E108" i="1"/>
  <c r="E120" i="1"/>
  <c r="E91" i="1"/>
  <c r="E53" i="1"/>
  <c r="E8" i="1"/>
  <c r="E49" i="1"/>
  <c r="E84" i="1"/>
  <c r="E11" i="1"/>
  <c r="E15" i="1"/>
  <c r="E36" i="1"/>
  <c r="E62" i="1"/>
  <c r="E3" i="1"/>
  <c r="E89" i="1"/>
  <c r="E14" i="1"/>
  <c r="E43" i="1"/>
  <c r="E10" i="1"/>
  <c r="E56" i="1"/>
  <c r="E77" i="1"/>
  <c r="E34" i="1"/>
  <c r="E67" i="1"/>
  <c r="E81" i="1"/>
  <c r="E28" i="1"/>
  <c r="E25" i="1"/>
  <c r="E103" i="1"/>
  <c r="E41" i="1"/>
  <c r="E86" i="1"/>
  <c r="E74" i="1"/>
  <c r="E75" i="1"/>
  <c r="E13" i="1"/>
  <c r="E104" i="1"/>
  <c r="E115" i="1"/>
  <c r="E40" i="1"/>
  <c r="E119" i="1"/>
  <c r="E57" i="1"/>
  <c r="E125" i="1"/>
  <c r="E97" i="1"/>
  <c r="E107" i="1"/>
  <c r="E58" i="1"/>
  <c r="E112" i="1"/>
  <c r="E63" i="1"/>
  <c r="E26" i="1"/>
  <c r="E66" i="1"/>
  <c r="E117" i="1"/>
  <c r="E87" i="1"/>
  <c r="E79" i="1"/>
  <c r="E6" i="1"/>
  <c r="E80" i="1"/>
  <c r="E24" i="1"/>
  <c r="E83" i="1"/>
  <c r="E88" i="1"/>
  <c r="E38" i="1"/>
  <c r="E96" i="1"/>
  <c r="E31" i="1"/>
  <c r="E123" i="1"/>
  <c r="E29" i="1"/>
  <c r="E106" i="1"/>
  <c r="E78" i="1"/>
  <c r="E114" i="1"/>
  <c r="E105" i="1"/>
  <c r="E99" i="1"/>
  <c r="E54" i="1"/>
  <c r="E4" i="1"/>
  <c r="E59" i="1"/>
  <c r="E33" i="1"/>
  <c r="E94" i="1"/>
  <c r="E124" i="1"/>
  <c r="E17" i="1"/>
  <c r="E9" i="1"/>
  <c r="E2" i="1"/>
  <c r="E52" i="1"/>
  <c r="E126" i="1"/>
  <c r="E111" i="1"/>
  <c r="E18" i="1"/>
  <c r="E27" i="1"/>
  <c r="E73" i="1"/>
  <c r="E127" i="1"/>
  <c r="E61" i="1"/>
  <c r="E45" i="1"/>
  <c r="E39" i="1"/>
  <c r="E122" i="1"/>
  <c r="E110" i="1" l="1"/>
  <c r="E70" i="1"/>
</calcChain>
</file>

<file path=xl/sharedStrings.xml><?xml version="1.0" encoding="utf-8"?>
<sst xmlns="http://schemas.openxmlformats.org/spreadsheetml/2006/main" count="293" uniqueCount="284">
  <si>
    <t>Nb</t>
    <phoneticPr fontId="1" type="noConversion"/>
  </si>
  <si>
    <t>C</t>
    <phoneticPr fontId="1" type="noConversion"/>
  </si>
  <si>
    <t>N</t>
    <phoneticPr fontId="1" type="noConversion"/>
  </si>
  <si>
    <t>Cr</t>
    <phoneticPr fontId="1" type="noConversion"/>
  </si>
  <si>
    <t>Hf</t>
    <phoneticPr fontId="1" type="noConversion"/>
  </si>
  <si>
    <t>Mo</t>
    <phoneticPr fontId="1" type="noConversion"/>
  </si>
  <si>
    <t>Ta</t>
    <phoneticPr fontId="1" type="noConversion"/>
  </si>
  <si>
    <t>Ti</t>
    <phoneticPr fontId="1" type="noConversion"/>
  </si>
  <si>
    <t>V</t>
    <phoneticPr fontId="1" type="noConversion"/>
  </si>
  <si>
    <t>W</t>
    <phoneticPr fontId="1" type="noConversion"/>
  </si>
  <si>
    <t>Zr</t>
    <phoneticPr fontId="1" type="noConversion"/>
  </si>
  <si>
    <t>体系能量（结构优化后的）</t>
  </si>
  <si>
    <t>体 系</t>
  </si>
  <si>
    <t>原子总能量</t>
    <phoneticPr fontId="1" type="noConversion"/>
  </si>
  <si>
    <t>形成能</t>
    <phoneticPr fontId="1" type="noConversion"/>
  </si>
  <si>
    <t>8</t>
    <phoneticPr fontId="1" type="noConversion"/>
  </si>
  <si>
    <t>2</t>
    <phoneticPr fontId="1" type="noConversion"/>
  </si>
  <si>
    <t>-19.93835751</t>
  </si>
  <si>
    <t>-21.49783157</t>
  </si>
  <si>
    <t>-19.90712733</t>
  </si>
  <si>
    <t>-23.60705437</t>
  </si>
  <si>
    <t xml:space="preserve"> -15.82498816</t>
  </si>
  <si>
    <t>-18.12751656</t>
  </si>
  <si>
    <t>-25.80454093</t>
  </si>
  <si>
    <t>-17.00892454</t>
  </si>
  <si>
    <t>-19.18295976</t>
    <phoneticPr fontId="1" type="noConversion"/>
  </si>
  <si>
    <t>-16.67354884</t>
  </si>
  <si>
    <t>-72.74266886</t>
  </si>
  <si>
    <t>Energy without enptropy</t>
    <phoneticPr fontId="1" type="noConversion"/>
  </si>
  <si>
    <t>Atom</t>
    <phoneticPr fontId="1" type="noConversion"/>
  </si>
  <si>
    <t>energy/atom</t>
    <phoneticPr fontId="1" type="noConversion"/>
  </si>
  <si>
    <t>(ZrVTaMoW)</t>
    <phoneticPr fontId="1" type="noConversion"/>
  </si>
  <si>
    <t>(ZrVTaCrW)</t>
    <phoneticPr fontId="1" type="noConversion"/>
  </si>
  <si>
    <t>（ZrVTaCrMo）</t>
    <phoneticPr fontId="1" type="noConversion"/>
  </si>
  <si>
    <t>(ZrVNbTaW)</t>
    <phoneticPr fontId="1" type="noConversion"/>
  </si>
  <si>
    <t>(ZrVNbTaMo)</t>
    <phoneticPr fontId="1" type="noConversion"/>
  </si>
  <si>
    <t>(ZrVNbTaCr)</t>
    <phoneticPr fontId="1" type="noConversion"/>
  </si>
  <si>
    <t>(ZrVNbMoW)</t>
    <phoneticPr fontId="1" type="noConversion"/>
  </si>
  <si>
    <t>(ZrVNbCrW)</t>
    <phoneticPr fontId="1" type="noConversion"/>
  </si>
  <si>
    <t>(ZrVNbCrMo)</t>
    <phoneticPr fontId="1" type="noConversion"/>
  </si>
  <si>
    <t>(ZrVCrMoW)</t>
    <phoneticPr fontId="1" type="noConversion"/>
  </si>
  <si>
    <t>(ZrTaCrMoW)</t>
    <phoneticPr fontId="1" type="noConversion"/>
  </si>
  <si>
    <t>(ZrNbTaCrW)</t>
    <phoneticPr fontId="1" type="noConversion"/>
  </si>
  <si>
    <t>(ZrNbTaCrMo)</t>
    <phoneticPr fontId="1" type="noConversion"/>
  </si>
  <si>
    <t>(ZrNbCrMoW)</t>
    <phoneticPr fontId="1" type="noConversion"/>
  </si>
  <si>
    <t>(ZrHfVTaW)</t>
    <phoneticPr fontId="1" type="noConversion"/>
  </si>
  <si>
    <t>(ZrHfVTaMo)</t>
    <phoneticPr fontId="1" type="noConversion"/>
  </si>
  <si>
    <t>(ZrHfVNbW)</t>
    <phoneticPr fontId="1" type="noConversion"/>
  </si>
  <si>
    <t>(ZrHfVNbTa)</t>
    <phoneticPr fontId="1" type="noConversion"/>
  </si>
  <si>
    <t>(ZrHfVNbMo)</t>
    <phoneticPr fontId="1" type="noConversion"/>
  </si>
  <si>
    <t>(ZrHfVNbCr)</t>
    <phoneticPr fontId="1" type="noConversion"/>
  </si>
  <si>
    <t xml:space="preserve">(ZrHfVTaCr) </t>
    <phoneticPr fontId="1" type="noConversion"/>
  </si>
  <si>
    <t>(TiZrHfNbTa)</t>
    <phoneticPr fontId="1" type="noConversion"/>
  </si>
  <si>
    <t>(TiZrHfVNb)</t>
    <phoneticPr fontId="1" type="noConversion"/>
  </si>
  <si>
    <t>(TiZrHfVTa)</t>
    <phoneticPr fontId="1" type="noConversion"/>
  </si>
  <si>
    <t>(TiHfVNbTa)</t>
    <phoneticPr fontId="1" type="noConversion"/>
  </si>
  <si>
    <t>(TiZrHfTaMo)</t>
    <phoneticPr fontId="1" type="noConversion"/>
  </si>
  <si>
    <t>(TiZrHfNbMo)</t>
    <phoneticPr fontId="1" type="noConversion"/>
  </si>
  <si>
    <t>(TiZrHfNbW)</t>
    <phoneticPr fontId="1" type="noConversion"/>
  </si>
  <si>
    <t>(TiZrHfTaW)</t>
    <phoneticPr fontId="1" type="noConversion"/>
  </si>
  <si>
    <t>(TiZrHfVMo)</t>
    <phoneticPr fontId="1" type="noConversion"/>
  </si>
  <si>
    <t>(TiHfNbTaMo)</t>
    <phoneticPr fontId="1" type="noConversion"/>
  </si>
  <si>
    <t>(TiZrVNbTa)</t>
    <phoneticPr fontId="1" type="noConversion"/>
  </si>
  <si>
    <t>(TiZrHfNbCr)</t>
    <phoneticPr fontId="1" type="noConversion"/>
  </si>
  <si>
    <t>(TiZrHfTaCr)</t>
    <phoneticPr fontId="1" type="noConversion"/>
  </si>
  <si>
    <t>(ZrHfNbTaMo)</t>
    <phoneticPr fontId="1" type="noConversion"/>
  </si>
  <si>
    <t>(TiZrHfVW)</t>
    <phoneticPr fontId="1" type="noConversion"/>
  </si>
  <si>
    <t>(TiZrNbTaMo)</t>
    <phoneticPr fontId="1" type="noConversion"/>
  </si>
  <si>
    <t>(TiHfVTaMo)</t>
    <phoneticPr fontId="1" type="noConversion"/>
  </si>
  <si>
    <t>(TiHfVNbMo)</t>
    <phoneticPr fontId="1" type="noConversion"/>
  </si>
  <si>
    <t>(TiHfNbTaW)</t>
    <phoneticPr fontId="1" type="noConversion"/>
  </si>
  <si>
    <t>(TiHfNbTaCr)</t>
    <phoneticPr fontId="1" type="noConversion"/>
  </si>
  <si>
    <t>(TiHfVNbW)</t>
    <phoneticPr fontId="1" type="noConversion"/>
  </si>
  <si>
    <t>(TiZrNbTaW)</t>
    <phoneticPr fontId="1" type="noConversion"/>
  </si>
  <si>
    <t>(ZrHfNbTaW)</t>
    <phoneticPr fontId="1" type="noConversion"/>
  </si>
  <si>
    <t>(TiZrVTaMo)</t>
    <phoneticPr fontId="1" type="noConversion"/>
  </si>
  <si>
    <t>(TiZrVNbMo)</t>
    <phoneticPr fontId="1" type="noConversion"/>
  </si>
  <si>
    <t>(ZrHfNbTaCr)</t>
    <phoneticPr fontId="1" type="noConversion"/>
  </si>
  <si>
    <t>(TiHfVTaW)</t>
    <phoneticPr fontId="1" type="noConversion"/>
  </si>
  <si>
    <t>(TiZrHfVCr)</t>
    <phoneticPr fontId="1" type="noConversion"/>
  </si>
  <si>
    <t>(TiZrNbTaCr)</t>
    <phoneticPr fontId="1" type="noConversion"/>
  </si>
  <si>
    <t>(TiHfVTaCr)</t>
    <phoneticPr fontId="1" type="noConversion"/>
  </si>
  <si>
    <t>(TiZrHfMoW)</t>
    <phoneticPr fontId="1" type="noConversion"/>
  </si>
  <si>
    <t>(TiHfVNbCr)</t>
    <phoneticPr fontId="1" type="noConversion"/>
  </si>
  <si>
    <t>(TiZrVTaW)</t>
    <phoneticPr fontId="1" type="noConversion"/>
  </si>
  <si>
    <t>(TiZrVNbCr)</t>
    <phoneticPr fontId="1" type="noConversion"/>
  </si>
  <si>
    <t>(TiZrVNbW)</t>
    <phoneticPr fontId="1" type="noConversion"/>
  </si>
  <si>
    <t>(TiZrHfCrMo)</t>
    <phoneticPr fontId="1" type="noConversion"/>
  </si>
  <si>
    <t>(TiZrVTaCr)</t>
    <phoneticPr fontId="1" type="noConversion"/>
  </si>
  <si>
    <t>(TiVNbTaW)</t>
    <phoneticPr fontId="1" type="noConversion"/>
  </si>
  <si>
    <t>(HfVNbTaMo)</t>
    <phoneticPr fontId="1" type="noConversion"/>
  </si>
  <si>
    <t>(TiVNbTaCr)</t>
    <phoneticPr fontId="1" type="noConversion"/>
  </si>
  <si>
    <t>(TiZrHfCrW)</t>
    <phoneticPr fontId="1" type="noConversion"/>
  </si>
  <si>
    <t>(TiHfTaCrMo)</t>
    <phoneticPr fontId="1" type="noConversion"/>
  </si>
  <si>
    <t>(TiHfTaMoW)</t>
    <phoneticPr fontId="1" type="noConversion"/>
  </si>
  <si>
    <t>(TiZrTaMoW)</t>
    <phoneticPr fontId="1" type="noConversion"/>
  </si>
  <si>
    <t>(TiVNbTaMo)</t>
    <phoneticPr fontId="1" type="noConversion"/>
  </si>
  <si>
    <t>(HfVNbTaCr)</t>
    <phoneticPr fontId="1" type="noConversion"/>
  </si>
  <si>
    <t>(TiHfNbCrW)</t>
    <phoneticPr fontId="1" type="noConversion"/>
  </si>
  <si>
    <t>(TiZrNbMoW)</t>
    <phoneticPr fontId="1" type="noConversion"/>
  </si>
  <si>
    <t>(ZrHfNbMoW)</t>
    <phoneticPr fontId="1" type="noConversion"/>
  </si>
  <si>
    <t>(ZrHfNbCrMo)</t>
    <phoneticPr fontId="1" type="noConversion"/>
  </si>
  <si>
    <t>(HfVNbTaW)</t>
    <phoneticPr fontId="1" type="noConversion"/>
  </si>
  <si>
    <t>(ZrHfTaCrMo)</t>
    <phoneticPr fontId="1" type="noConversion"/>
  </si>
  <si>
    <t>(TiZrNbCrMo)</t>
    <phoneticPr fontId="1" type="noConversion"/>
  </si>
  <si>
    <t>(ZrHfTaMoW)</t>
    <phoneticPr fontId="1" type="noConversion"/>
  </si>
  <si>
    <t>(TiHfTaCrW)</t>
    <phoneticPr fontId="1" type="noConversion"/>
  </si>
  <si>
    <t>(TiHfVMoW)</t>
    <phoneticPr fontId="1" type="noConversion"/>
  </si>
  <si>
    <t>(ZrHfNbCrW)</t>
    <phoneticPr fontId="1" type="noConversion"/>
  </si>
  <si>
    <t>(TiZrNbCrW)</t>
    <phoneticPr fontId="1" type="noConversion"/>
  </si>
  <si>
    <t>(TiHfNbMoW)</t>
    <phoneticPr fontId="1" type="noConversion"/>
  </si>
  <si>
    <t>(TiHfVCrW)</t>
    <phoneticPr fontId="1" type="noConversion"/>
  </si>
  <si>
    <t>(TiHfVCrMo)</t>
    <phoneticPr fontId="1" type="noConversion"/>
  </si>
  <si>
    <t>(ZrHfTaCrW)</t>
    <phoneticPr fontId="1" type="noConversion"/>
  </si>
  <si>
    <t>(TiZrTaCrMo)</t>
    <phoneticPr fontId="1" type="noConversion"/>
  </si>
  <si>
    <t>(TiZrVMoW)</t>
    <phoneticPr fontId="1" type="noConversion"/>
  </si>
  <si>
    <t>(HfNbTaCrMo)</t>
    <phoneticPr fontId="1" type="noConversion"/>
  </si>
  <si>
    <t>(TiZrTaCrW)</t>
    <phoneticPr fontId="1" type="noConversion"/>
  </si>
  <si>
    <t>(TiNbTaMoW)</t>
    <phoneticPr fontId="1" type="noConversion"/>
  </si>
  <si>
    <t>(ZrHfVCrMo)</t>
    <phoneticPr fontId="1" type="noConversion"/>
  </si>
  <si>
    <t>(ZrHfVMoW)</t>
    <phoneticPr fontId="1" type="noConversion"/>
  </si>
  <si>
    <t>(TiZrVCrMo)</t>
    <phoneticPr fontId="1" type="noConversion"/>
  </si>
  <si>
    <t>(HfNbTaMoW)</t>
    <phoneticPr fontId="1" type="noConversion"/>
  </si>
  <si>
    <t>(ZrHfVCrW)</t>
    <phoneticPr fontId="1" type="noConversion"/>
  </si>
  <si>
    <t>(TiVNbMoW)</t>
    <phoneticPr fontId="1" type="noConversion"/>
  </si>
  <si>
    <t>(HfNbTaCrW)</t>
    <phoneticPr fontId="1" type="noConversion"/>
  </si>
  <si>
    <t>(TiZrVCrW)</t>
    <phoneticPr fontId="1" type="noConversion"/>
  </si>
  <si>
    <t>(TiVTaCrMo)</t>
    <phoneticPr fontId="1" type="noConversion"/>
  </si>
  <si>
    <t>(TiVTaMoW)</t>
    <phoneticPr fontId="1" type="noConversion"/>
  </si>
  <si>
    <t>(HfVNbCrMo)</t>
    <phoneticPr fontId="1" type="noConversion"/>
  </si>
  <si>
    <t>(TiVNbCrMo)</t>
    <phoneticPr fontId="1" type="noConversion"/>
  </si>
  <si>
    <t>(HfVTaCrMo)</t>
    <phoneticPr fontId="1" type="noConversion"/>
  </si>
  <si>
    <t>(TiNbTaCrMo)</t>
    <phoneticPr fontId="1" type="noConversion"/>
  </si>
  <si>
    <t>(TiVTaCrW)</t>
    <phoneticPr fontId="1" type="noConversion"/>
  </si>
  <si>
    <t>(HfVNbMoW)</t>
    <phoneticPr fontId="1" type="noConversion"/>
  </si>
  <si>
    <t>(HfVNbCrW)</t>
    <phoneticPr fontId="1" type="noConversion"/>
  </si>
  <si>
    <t>(TiNbTaCrW)</t>
    <phoneticPr fontId="1" type="noConversion"/>
  </si>
  <si>
    <t>(TiVNbCrW)</t>
    <phoneticPr fontId="1" type="noConversion"/>
  </si>
  <si>
    <t>(TiHfCrMoW)</t>
    <phoneticPr fontId="1" type="noConversion"/>
  </si>
  <si>
    <t>(HfVTaCrW)</t>
    <phoneticPr fontId="1" type="noConversion"/>
  </si>
  <si>
    <t>(HfVTaMoW)</t>
    <phoneticPr fontId="1" type="noConversion"/>
  </si>
  <si>
    <t>(ZrNbTaMoW)</t>
    <phoneticPr fontId="1" type="noConversion"/>
  </si>
  <si>
    <t>(ZrHfCrMoW)</t>
    <phoneticPr fontId="1" type="noConversion"/>
  </si>
  <si>
    <t>(TiZrCrMoW)</t>
    <phoneticPr fontId="1" type="noConversion"/>
  </si>
  <si>
    <t>(VNbTaCrMo)</t>
    <phoneticPr fontId="1" type="noConversion"/>
  </si>
  <si>
    <t>(HfNbCrMoW)</t>
    <phoneticPr fontId="1" type="noConversion"/>
  </si>
  <si>
    <t>(TiNbCrMoW)</t>
    <phoneticPr fontId="1" type="noConversion"/>
  </si>
  <si>
    <t>(VNbTaCrW)</t>
    <phoneticPr fontId="1" type="noConversion"/>
  </si>
  <si>
    <t>(TiTaCrMoW)</t>
    <phoneticPr fontId="1" type="noConversion"/>
  </si>
  <si>
    <t>(VNbTaMoW)</t>
    <phoneticPr fontId="1" type="noConversion"/>
  </si>
  <si>
    <t>(HfTaCrMoW)</t>
    <phoneticPr fontId="1" type="noConversion"/>
  </si>
  <si>
    <t>(TiVCrMoW)</t>
    <phoneticPr fontId="1" type="noConversion"/>
  </si>
  <si>
    <t>(HfVCrMoW)</t>
    <phoneticPr fontId="1" type="noConversion"/>
  </si>
  <si>
    <t>(NbTaCrMoW)</t>
    <phoneticPr fontId="1" type="noConversion"/>
  </si>
  <si>
    <t>(VNbCrMoW)</t>
    <phoneticPr fontId="1" type="noConversion"/>
  </si>
  <si>
    <t>(VTaCrMoW)</t>
    <phoneticPr fontId="1" type="noConversion"/>
  </si>
  <si>
    <t>(TiHfNbCrMo)</t>
    <phoneticPr fontId="1" type="noConversion"/>
  </si>
  <si>
    <t>编号</t>
    <phoneticPr fontId="1" type="noConversion"/>
  </si>
  <si>
    <t>HECN-1</t>
    <phoneticPr fontId="1" type="noConversion"/>
  </si>
  <si>
    <t>HECN-9</t>
  </si>
  <si>
    <t>HECN-8</t>
  </si>
  <si>
    <t>HECN-2</t>
  </si>
  <si>
    <t>HECN-3</t>
  </si>
  <si>
    <t>HECN-4</t>
  </si>
  <si>
    <t>HECN-5</t>
  </si>
  <si>
    <t>HECN-6</t>
  </si>
  <si>
    <t>HECN-7</t>
  </si>
  <si>
    <t>HECN-10</t>
  </si>
  <si>
    <t>HECN-11</t>
  </si>
  <si>
    <t>HECN-12</t>
  </si>
  <si>
    <t>HECN-13</t>
  </si>
  <si>
    <t>HECN-14</t>
  </si>
  <si>
    <t>HECN-15</t>
  </si>
  <si>
    <t>HECN-16</t>
  </si>
  <si>
    <t>HECN-17</t>
  </si>
  <si>
    <t>HECN-18</t>
  </si>
  <si>
    <t>HECN-19</t>
  </si>
  <si>
    <t>HECN-20</t>
  </si>
  <si>
    <t>HECN-21</t>
  </si>
  <si>
    <t>HECN-22</t>
  </si>
  <si>
    <t>HECN-23</t>
  </si>
  <si>
    <t>HECN-24</t>
  </si>
  <si>
    <t>HECN-25</t>
  </si>
  <si>
    <t>HECN-26</t>
  </si>
  <si>
    <t>HECN-27</t>
  </si>
  <si>
    <t>HECN-28</t>
  </si>
  <si>
    <t>HECN-29</t>
  </si>
  <si>
    <t>HECN-30</t>
  </si>
  <si>
    <t>HECN-31</t>
  </si>
  <si>
    <t>HECN-32</t>
  </si>
  <si>
    <t>HECN-33</t>
  </si>
  <si>
    <t>HECN-34</t>
  </si>
  <si>
    <t>HECN-35</t>
  </si>
  <si>
    <t>HECN-36</t>
  </si>
  <si>
    <t>HECN-37</t>
  </si>
  <si>
    <t>HECN-38</t>
  </si>
  <si>
    <t>HECN-39</t>
  </si>
  <si>
    <t>HECN-40</t>
  </si>
  <si>
    <t>HECN-41</t>
  </si>
  <si>
    <t>HECN-42</t>
  </si>
  <si>
    <t>HECN-43</t>
  </si>
  <si>
    <t>HECN-44</t>
  </si>
  <si>
    <t>HECN-45</t>
  </si>
  <si>
    <t>HECN-46</t>
  </si>
  <si>
    <t>HECN-47</t>
  </si>
  <si>
    <t>HECN-48</t>
  </si>
  <si>
    <t>HECN-49</t>
  </si>
  <si>
    <t>HECN-50</t>
  </si>
  <si>
    <t>HECN-51</t>
  </si>
  <si>
    <t>HECN-52</t>
  </si>
  <si>
    <t>HECN-53</t>
  </si>
  <si>
    <t>HECN-54</t>
  </si>
  <si>
    <t>HECN-55</t>
  </si>
  <si>
    <t>HECN-56</t>
  </si>
  <si>
    <t>HECN-57</t>
  </si>
  <si>
    <t>HECN-58</t>
  </si>
  <si>
    <t>HECN-59</t>
  </si>
  <si>
    <t>HECN-60</t>
  </si>
  <si>
    <t>HECN-61</t>
  </si>
  <si>
    <t>HECN-62</t>
  </si>
  <si>
    <t>HECN-63</t>
  </si>
  <si>
    <t>HECN-64</t>
  </si>
  <si>
    <t>HECN-65</t>
  </si>
  <si>
    <t>HECN-66</t>
  </si>
  <si>
    <t>HECN-67</t>
  </si>
  <si>
    <t>HECN-68</t>
  </si>
  <si>
    <t>HECN-69</t>
  </si>
  <si>
    <t>HECN-70</t>
  </si>
  <si>
    <t>HECN-71</t>
  </si>
  <si>
    <t>HECN-72</t>
  </si>
  <si>
    <t>HECN-73</t>
  </si>
  <si>
    <t>HECN-74</t>
  </si>
  <si>
    <t>HECN-75</t>
  </si>
  <si>
    <t>HECN-76</t>
  </si>
  <si>
    <t>HECN-77</t>
  </si>
  <si>
    <t>HECN-78</t>
  </si>
  <si>
    <t>HECN-79</t>
  </si>
  <si>
    <t>HECN-80</t>
  </si>
  <si>
    <t>HECN-81</t>
  </si>
  <si>
    <t>HECN-82</t>
  </si>
  <si>
    <t>HECN-83</t>
  </si>
  <si>
    <t>HECN-84</t>
  </si>
  <si>
    <t>HECN-85</t>
  </si>
  <si>
    <t>HECN-86</t>
  </si>
  <si>
    <t>HECN-87</t>
  </si>
  <si>
    <t>HECN-88</t>
  </si>
  <si>
    <t>HECN-89</t>
  </si>
  <si>
    <t>HECN-90</t>
  </si>
  <si>
    <t>HECN-91</t>
  </si>
  <si>
    <t>HECN-92</t>
  </si>
  <si>
    <t>HECN-93</t>
  </si>
  <si>
    <t>HECN-94</t>
  </si>
  <si>
    <t>HECN-95</t>
  </si>
  <si>
    <t>HECN-96</t>
  </si>
  <si>
    <t>HECN-97</t>
  </si>
  <si>
    <t>HECN-98</t>
  </si>
  <si>
    <t>HECN-99</t>
  </si>
  <si>
    <t>HECN-100</t>
  </si>
  <si>
    <t>HECN-101</t>
  </si>
  <si>
    <t>HECN-102</t>
  </si>
  <si>
    <t>HECN-103</t>
  </si>
  <si>
    <t>HECN-104</t>
  </si>
  <si>
    <t>HECN-105</t>
  </si>
  <si>
    <t>HECN-106</t>
  </si>
  <si>
    <t>HECN-107</t>
  </si>
  <si>
    <t>HECN-108</t>
  </si>
  <si>
    <t>HECN-109</t>
  </si>
  <si>
    <t>HECN-110</t>
  </si>
  <si>
    <t>HECN-111</t>
  </si>
  <si>
    <t>HECN-112</t>
  </si>
  <si>
    <t>HECN-113</t>
  </si>
  <si>
    <t>HECN-114</t>
  </si>
  <si>
    <t>HECN-115</t>
  </si>
  <si>
    <t>HECN-116</t>
  </si>
  <si>
    <t>HECN-117</t>
  </si>
  <si>
    <t>HECN-118</t>
  </si>
  <si>
    <t>HECN-119</t>
  </si>
  <si>
    <t>HECN-120</t>
  </si>
  <si>
    <t>HECN-121</t>
  </si>
  <si>
    <t>HECN-122</t>
  </si>
  <si>
    <t>HECN-123</t>
  </si>
  <si>
    <t>HECN-124</t>
  </si>
  <si>
    <t>HECN-125</t>
  </si>
  <si>
    <t>HECN-126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</si>
</sst>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7"/>
  <sheetViews>
    <sheetView tabSelected="1" zoomScaleNormal="100" workbookViewId="0">
      <selection activeCell="I23" sqref="I23"/>
    </sheetView>
  </sheetViews>
  <sheetFormatPr defaultRowHeight="14.25" x14ac:dyDescent="0.2"/>
  <cols>
    <col min="1" max="1" width="9" style="1"/>
    <col min="2" max="2" width="25.625" style="1" bestFit="1" customWidth="1"/>
    <col min="3" max="3" width="29.5" style="1" bestFit="1" customWidth="1"/>
    <col min="4" max="4" width="13.125" style="1" bestFit="1" customWidth="1"/>
    <col min="5" max="5" width="11.75" style="1" bestFit="1" customWidth="1"/>
    <col min="6" max="6" width="11.75" style="1" customWidth="1"/>
    <col min="7" max="7" width="9" style="1"/>
    <col min="8" max="9" width="13.875" style="1" bestFit="1" customWidth="1"/>
    <col min="10" max="10" width="23" style="1" bestFit="1" customWidth="1"/>
    <col min="11" max="11" width="9" style="1"/>
    <col min="12" max="12" width="13.125" style="1" bestFit="1" customWidth="1"/>
    <col min="13" max="14" width="9" style="1"/>
    <col min="15" max="15" width="17.625" style="1" bestFit="1" customWidth="1"/>
    <col min="16" max="16" width="16.5" style="1" bestFit="1" customWidth="1"/>
    <col min="17" max="16384" width="9" style="1"/>
  </cols>
  <sheetData>
    <row r="1" spans="1:12" x14ac:dyDescent="0.2">
      <c r="A1" s="1" t="s">
        <v>157</v>
      </c>
      <c r="B1" s="1" t="s">
        <v>12</v>
      </c>
      <c r="C1" s="1" t="s">
        <v>11</v>
      </c>
      <c r="D1" s="1" t="s">
        <v>13</v>
      </c>
      <c r="E1" s="1" t="s">
        <v>14</v>
      </c>
    </row>
    <row r="2" spans="1:12" x14ac:dyDescent="0.2">
      <c r="A2" s="1" t="s">
        <v>158</v>
      </c>
      <c r="B2" s="1" t="s">
        <v>52</v>
      </c>
      <c r="C2" s="1">
        <v>-659.55736256</v>
      </c>
      <c r="D2" s="1">
        <f>7*$H$3+7*$H$4+6*$H$7+6*$H$5+6*$H$8+13*$H$13+19*$H$12</f>
        <v>-586.41821808249995</v>
      </c>
      <c r="E2" s="1">
        <f>(C2-D2)/64</f>
        <v>-1.1427991324609383</v>
      </c>
      <c r="J2" s="1" t="s">
        <v>28</v>
      </c>
      <c r="K2" s="1" t="s">
        <v>29</v>
      </c>
      <c r="L2" s="1" t="s">
        <v>30</v>
      </c>
    </row>
    <row r="3" spans="1:12" x14ac:dyDescent="0.2">
      <c r="A3" s="1" t="s">
        <v>161</v>
      </c>
      <c r="B3" s="1" t="s">
        <v>53</v>
      </c>
      <c r="C3" s="1">
        <v>-640.95286433000001</v>
      </c>
      <c r="D3" s="1">
        <f>7*$H$3+7*$H$4+6*$H$6+6*$H$5+6*$H$7+13*$H$13+19*$H$12</f>
        <v>-569.97960465250003</v>
      </c>
      <c r="E3" s="1">
        <f>(C3-D3)/64</f>
        <v>-1.1089571824609372</v>
      </c>
      <c r="G3" s="1" t="s">
        <v>7</v>
      </c>
      <c r="H3" s="1">
        <v>-7.9124940800000001</v>
      </c>
      <c r="J3" s="1" t="s">
        <v>21</v>
      </c>
      <c r="K3" s="1" t="s">
        <v>16</v>
      </c>
      <c r="L3" s="1">
        <f>J3/K3</f>
        <v>-7.9124940800000001</v>
      </c>
    </row>
    <row r="4" spans="1:12" x14ac:dyDescent="0.2">
      <c r="A4" s="1" t="s">
        <v>162</v>
      </c>
      <c r="B4" s="1" t="s">
        <v>54</v>
      </c>
      <c r="C4" s="1">
        <v>-649.51093892999995</v>
      </c>
      <c r="D4" s="1">
        <f>7*$H$3+7*$H$4+6*$H$6+6*$H$5+6*$H$8+13*$H$13+19*$H$12</f>
        <v>-581.07938577250002</v>
      </c>
      <c r="E4" s="1">
        <f>(C4-D4)/64</f>
        <v>-1.0692430180859365</v>
      </c>
      <c r="G4" s="1" t="s">
        <v>10</v>
      </c>
      <c r="H4" s="1">
        <v>-8.5044622699999994</v>
      </c>
      <c r="J4" s="1" t="s">
        <v>24</v>
      </c>
      <c r="K4" s="1" t="s">
        <v>16</v>
      </c>
      <c r="L4" s="1">
        <f t="shared" ref="L4:L13" si="0">J4/K4</f>
        <v>-8.5044622699999994</v>
      </c>
    </row>
    <row r="5" spans="1:12" x14ac:dyDescent="0.2">
      <c r="A5" s="1" t="s">
        <v>163</v>
      </c>
      <c r="B5" s="1" t="s">
        <v>55</v>
      </c>
      <c r="C5" s="1">
        <v>-657.84387154000001</v>
      </c>
      <c r="D5" s="1">
        <f>7*$H$3+7*$H$5+6*$H$6+6*$H$7+6*$H$8+13*$H$13+19*$H$12</f>
        <v>-591.23871062750004</v>
      </c>
      <c r="E5" s="1">
        <f>(C5-D5)/64</f>
        <v>-1.040705639257812</v>
      </c>
      <c r="G5" s="1" t="s">
        <v>4</v>
      </c>
      <c r="H5" s="1">
        <v>-9.9691787549999997</v>
      </c>
      <c r="J5" s="1" t="s">
        <v>17</v>
      </c>
      <c r="K5" s="1" t="s">
        <v>16</v>
      </c>
      <c r="L5" s="1">
        <f t="shared" si="0"/>
        <v>-9.9691787549999997</v>
      </c>
    </row>
    <row r="6" spans="1:12" x14ac:dyDescent="0.2">
      <c r="A6" s="1" t="s">
        <v>164</v>
      </c>
      <c r="B6" s="1" t="s">
        <v>48</v>
      </c>
      <c r="C6" s="1">
        <v>-660.58711430000005</v>
      </c>
      <c r="D6" s="1">
        <f>7*$H$4+7*$H$5+6*$H$7+6*$H$6+6*$H$8+13*$H$13+19*$H$12</f>
        <v>-595.38248795749996</v>
      </c>
      <c r="E6" s="1">
        <f>(C6-D6)/64</f>
        <v>-1.0188222866015639</v>
      </c>
      <c r="G6" s="1" t="s">
        <v>8</v>
      </c>
      <c r="H6" s="1">
        <v>-9.0637582800000001</v>
      </c>
      <c r="J6" s="1" t="s">
        <v>22</v>
      </c>
      <c r="K6" s="1" t="s">
        <v>16</v>
      </c>
      <c r="L6" s="1">
        <f t="shared" si="0"/>
        <v>-9.0637582800000001</v>
      </c>
    </row>
    <row r="7" spans="1:12" x14ac:dyDescent="0.2">
      <c r="A7" s="1" t="s">
        <v>165</v>
      </c>
      <c r="B7" s="1" t="s">
        <v>56</v>
      </c>
      <c r="C7" s="1">
        <v>-655.70897003000005</v>
      </c>
      <c r="D7" s="1">
        <f>7*$H$3+7*$H$4+6*$H$5+6*$H$8+6*$H$10+13*$H$13+19*$H$12</f>
        <v>-591.19033080249994</v>
      </c>
      <c r="E7" s="1">
        <f>(C7-D7)/64</f>
        <v>-1.0081037379296891</v>
      </c>
      <c r="G7" s="1" t="s">
        <v>0</v>
      </c>
      <c r="H7" s="1">
        <v>-9.9535636650000008</v>
      </c>
      <c r="J7" s="1" t="s">
        <v>19</v>
      </c>
      <c r="K7" s="1" t="s">
        <v>16</v>
      </c>
      <c r="L7" s="1">
        <f t="shared" si="0"/>
        <v>-9.9535636650000008</v>
      </c>
    </row>
    <row r="8" spans="1:12" x14ac:dyDescent="0.2">
      <c r="A8" s="1" t="s">
        <v>166</v>
      </c>
      <c r="B8" s="1" t="s">
        <v>57</v>
      </c>
      <c r="C8" s="1">
        <v>-643.79094322000003</v>
      </c>
      <c r="D8" s="1">
        <f>7*$H$3+7*$H$4+6*$H$7+6*$H$5+6*$H$10+13*$H$13+19*$H$12</f>
        <v>-580.09054968249995</v>
      </c>
      <c r="E8" s="1">
        <f>(C8-D8)/64</f>
        <v>-0.9953186490234387</v>
      </c>
      <c r="G8" s="1" t="s">
        <v>6</v>
      </c>
      <c r="H8" s="1">
        <v>-11.803527185</v>
      </c>
      <c r="J8" s="1" t="s">
        <v>20</v>
      </c>
      <c r="K8" s="1" t="s">
        <v>16</v>
      </c>
      <c r="L8" s="1">
        <f t="shared" si="0"/>
        <v>-11.803527185</v>
      </c>
    </row>
    <row r="9" spans="1:12" x14ac:dyDescent="0.2">
      <c r="A9" s="1" t="s">
        <v>160</v>
      </c>
      <c r="B9" s="1" t="s">
        <v>58</v>
      </c>
      <c r="C9" s="1">
        <v>-655.56807745000003</v>
      </c>
      <c r="D9" s="1">
        <f>7*$H$3+7*$H$4+6*$H$7+6*$H$5+6*$H$11+13*$H$13+19*$H$12</f>
        <v>-593.01067776249999</v>
      </c>
      <c r="E9" s="1">
        <f>(C9-D9)/64</f>
        <v>-0.97745937011718809</v>
      </c>
      <c r="G9" s="1" t="s">
        <v>3</v>
      </c>
      <c r="H9" s="1">
        <v>-9.5914798799999996</v>
      </c>
      <c r="J9" s="1" t="s">
        <v>25</v>
      </c>
      <c r="K9" s="1" t="s">
        <v>16</v>
      </c>
      <c r="L9" s="1">
        <f t="shared" si="0"/>
        <v>-9.5914798799999996</v>
      </c>
    </row>
    <row r="10" spans="1:12" x14ac:dyDescent="0.2">
      <c r="A10" s="1" t="s">
        <v>159</v>
      </c>
      <c r="B10" s="1" t="s">
        <v>59</v>
      </c>
      <c r="C10" s="1">
        <v>-666.33162388999995</v>
      </c>
      <c r="D10" s="1">
        <f>7*$H$3+7*$H$4+6*$H$8+6*$H$5+6*$H$11+13*$H$13+19*$H$12</f>
        <v>-604.1104588825001</v>
      </c>
      <c r="E10" s="1">
        <f>(C10-D10)/64</f>
        <v>-0.97220570324218514</v>
      </c>
      <c r="G10" s="1" t="s">
        <v>5</v>
      </c>
      <c r="H10" s="1">
        <v>-10.748915784999999</v>
      </c>
      <c r="J10" s="1" t="s">
        <v>18</v>
      </c>
      <c r="K10" s="1" t="s">
        <v>16</v>
      </c>
      <c r="L10" s="1">
        <f t="shared" si="0"/>
        <v>-10.748915784999999</v>
      </c>
    </row>
    <row r="11" spans="1:12" x14ac:dyDescent="0.2">
      <c r="A11" s="1" t="s">
        <v>167</v>
      </c>
      <c r="B11" s="1" t="s">
        <v>60</v>
      </c>
      <c r="C11" s="1">
        <v>-636.59232459999998</v>
      </c>
      <c r="D11" s="1">
        <f>7*$H$3+7*$H$4+6*$H$6+6*$H$5+6*$H$10+13*$H$13+19*$H$12</f>
        <v>-574.75171737250002</v>
      </c>
      <c r="E11" s="1">
        <f>(C11-D11)/64</f>
        <v>-0.96625948792968686</v>
      </c>
      <c r="G11" s="1" t="s">
        <v>9</v>
      </c>
      <c r="H11" s="1">
        <v>-12.902270465000001</v>
      </c>
      <c r="J11" s="1" t="s">
        <v>23</v>
      </c>
      <c r="K11" s="1" t="s">
        <v>16</v>
      </c>
      <c r="L11" s="1">
        <f t="shared" si="0"/>
        <v>-12.902270465000001</v>
      </c>
    </row>
    <row r="12" spans="1:12" x14ac:dyDescent="0.2">
      <c r="A12" s="1" t="s">
        <v>168</v>
      </c>
      <c r="B12" s="1" t="s">
        <v>61</v>
      </c>
      <c r="C12" s="1">
        <v>-662.01779859999999</v>
      </c>
      <c r="D12" s="1">
        <f>7*$H$3+7*$H$5+6*$H$7+6*$H$8+6*$H$10+13*$H$13+19*$H$12</f>
        <v>-601.34965565749997</v>
      </c>
      <c r="E12" s="1">
        <f>(C12-D12)/64</f>
        <v>-0.94793973347656291</v>
      </c>
      <c r="G12" s="1" t="s">
        <v>1</v>
      </c>
      <c r="H12" s="1">
        <v>-9.0928336074999994</v>
      </c>
      <c r="J12" s="1" t="s">
        <v>27</v>
      </c>
      <c r="K12" s="1" t="s">
        <v>15</v>
      </c>
      <c r="L12" s="1">
        <f t="shared" si="0"/>
        <v>-9.0928336074999994</v>
      </c>
    </row>
    <row r="13" spans="1:12" x14ac:dyDescent="0.2">
      <c r="A13" s="1" t="s">
        <v>169</v>
      </c>
      <c r="B13" s="1" t="s">
        <v>62</v>
      </c>
      <c r="C13" s="1">
        <v>-640.77871805999996</v>
      </c>
      <c r="D13" s="1">
        <f>7*$H$3+7*$H$4+6*$H$7+6*$H$6+6*$H$8+13*$H$13+19*$H$12</f>
        <v>-580.98569523250001</v>
      </c>
      <c r="E13" s="1">
        <f>(C13-D13)/64</f>
        <v>-0.93426598167968677</v>
      </c>
      <c r="G13" s="1" t="s">
        <v>2</v>
      </c>
      <c r="H13" s="1">
        <v>-8.3367744199999994</v>
      </c>
      <c r="J13" s="1" t="s">
        <v>26</v>
      </c>
      <c r="K13" s="1" t="s">
        <v>16</v>
      </c>
      <c r="L13" s="1">
        <f t="shared" si="0"/>
        <v>-8.3367744199999994</v>
      </c>
    </row>
    <row r="14" spans="1:12" x14ac:dyDescent="0.2">
      <c r="A14" s="1" t="s">
        <v>170</v>
      </c>
      <c r="B14" s="1" t="s">
        <v>63</v>
      </c>
      <c r="C14" s="1">
        <v>-632.37579745999994</v>
      </c>
      <c r="D14" s="1">
        <f>7*$H$3+7*$H$4+6*$H$7+6*$H$5+6*$H$9+13*$H$13+19*$H$12</f>
        <v>-573.14593425249996</v>
      </c>
      <c r="E14" s="1">
        <f>(C14-D14)/64</f>
        <v>-0.92546661261718732</v>
      </c>
    </row>
    <row r="15" spans="1:12" x14ac:dyDescent="0.2">
      <c r="A15" s="1" t="s">
        <v>171</v>
      </c>
      <c r="B15" s="1" t="s">
        <v>64</v>
      </c>
      <c r="C15" s="1">
        <v>-643.31941723</v>
      </c>
      <c r="D15" s="1">
        <f>7*$H$3+7*$H$4+6*$H$8+6*$H$5+6*$H$9+13*$H$13+19*$H$12</f>
        <v>-584.24571537250006</v>
      </c>
      <c r="E15" s="1">
        <f>(C15-D15)/64</f>
        <v>-0.92302659152343658</v>
      </c>
    </row>
    <row r="16" spans="1:12" x14ac:dyDescent="0.2">
      <c r="A16" s="1" t="s">
        <v>172</v>
      </c>
      <c r="B16" s="1" t="s">
        <v>65</v>
      </c>
      <c r="C16" s="1">
        <v>-664.29807100000005</v>
      </c>
      <c r="D16" s="1">
        <f>7*$H$4+7*$H$5+6*$H$8+6*$H$7+6*$H$10+13*$H$13+19*$H$12</f>
        <v>-605.4934329875</v>
      </c>
      <c r="E16" s="1">
        <f>(C16-D16)/64</f>
        <v>-0.91882246894531328</v>
      </c>
    </row>
    <row r="17" spans="1:5" x14ac:dyDescent="0.2">
      <c r="A17" s="1" t="s">
        <v>173</v>
      </c>
      <c r="B17" s="1" t="s">
        <v>66</v>
      </c>
      <c r="C17" s="1">
        <v>-646.39807474999998</v>
      </c>
      <c r="D17" s="1">
        <f>7*$H$3+7*$H$4+6*$H$6+6*$H$5+6*$H$11+13*$H$13+19*$H$12</f>
        <v>-587.67184545250007</v>
      </c>
      <c r="E17" s="1">
        <f>(C17-D17)/64</f>
        <v>-0.91759733277343614</v>
      </c>
    </row>
    <row r="18" spans="1:5" x14ac:dyDescent="0.2">
      <c r="A18" s="1" t="s">
        <v>174</v>
      </c>
      <c r="B18" s="1" t="s">
        <v>67</v>
      </c>
      <c r="C18" s="1">
        <v>-649.81802255000002</v>
      </c>
      <c r="D18" s="1">
        <f>7*$H$3+7*$H$4+6*$H$8+6*$H$7+6*$H$10+13*$H$13+19*$H$12</f>
        <v>-591.09664026250005</v>
      </c>
      <c r="E18" s="1">
        <f>(C18-D18)/64</f>
        <v>-0.91752159824218715</v>
      </c>
    </row>
    <row r="19" spans="1:5" x14ac:dyDescent="0.2">
      <c r="A19" s="1" t="s">
        <v>175</v>
      </c>
      <c r="B19" s="1" t="s">
        <v>69</v>
      </c>
      <c r="C19" s="1">
        <v>-643.27586741000005</v>
      </c>
      <c r="D19" s="1">
        <f>7*$H$3+7*$H$5+6*$H$6+6*$H$7+6*$H$10+13*$H$13+19*$H$12</f>
        <v>-584.91104222750005</v>
      </c>
      <c r="E19" s="1">
        <f>(C19-D19)/64</f>
        <v>-0.91195039347656248</v>
      </c>
    </row>
    <row r="20" spans="1:5" x14ac:dyDescent="0.2">
      <c r="A20" s="1" t="s">
        <v>176</v>
      </c>
      <c r="B20" s="1" t="s">
        <v>70</v>
      </c>
      <c r="C20" s="1">
        <v>-672.29572287999997</v>
      </c>
      <c r="D20" s="1">
        <f>7*$H$3+7*$H$5+6*$H$7+6*$H$8+6*$H$11+13*$H$13+19*$H$12</f>
        <v>-614.26978373750001</v>
      </c>
      <c r="E20" s="1">
        <f>(C20-D20)/64</f>
        <v>-0.90665529910156195</v>
      </c>
    </row>
    <row r="21" spans="1:5" x14ac:dyDescent="0.2">
      <c r="A21" s="1" t="s">
        <v>177</v>
      </c>
      <c r="B21" s="1" t="s">
        <v>71</v>
      </c>
      <c r="C21" s="1">
        <v>-651.62268644000005</v>
      </c>
      <c r="D21" s="1">
        <f>7*$H$3+7*$H$5+6*$H$7+6*$H$8+6*$H$9+13*$H$13+19*$H$12</f>
        <v>-594.40504022749997</v>
      </c>
      <c r="E21" s="1">
        <f>(C21-D21)/64</f>
        <v>-0.89402572207031383</v>
      </c>
    </row>
    <row r="22" spans="1:5" x14ac:dyDescent="0.2">
      <c r="A22" s="1" t="s">
        <v>178</v>
      </c>
      <c r="B22" s="1" t="s">
        <v>68</v>
      </c>
      <c r="C22" s="1">
        <v>-653.01580264999996</v>
      </c>
      <c r="D22" s="1">
        <f>7*$H$3+7*$H$5+6*$H$8+6*$H$6+6*$H$10+13*$H$13+19*$H$12</f>
        <v>-596.01082334750004</v>
      </c>
      <c r="E22" s="1">
        <f>(C22-D22)/64</f>
        <v>-0.89070280160156123</v>
      </c>
    </row>
    <row r="23" spans="1:5" x14ac:dyDescent="0.2">
      <c r="A23" s="1" t="s">
        <v>179</v>
      </c>
      <c r="B23" s="1" t="s">
        <v>72</v>
      </c>
      <c r="C23" s="1">
        <v>-654.69556709999995</v>
      </c>
      <c r="D23" s="1">
        <f>7*$H$3+7*$H$5+6*$H$6+6*$H$7+6*$H$11+13*$H$13+19*$H$12</f>
        <v>-597.83117030749997</v>
      </c>
      <c r="E23" s="1">
        <f>(C23-D23)/64</f>
        <v>-0.8885061998828121</v>
      </c>
    </row>
    <row r="24" spans="1:5" x14ac:dyDescent="0.2">
      <c r="A24" s="1" t="s">
        <v>180</v>
      </c>
      <c r="B24" s="1" t="s">
        <v>49</v>
      </c>
      <c r="C24" s="1">
        <v>-645.89949185</v>
      </c>
      <c r="D24" s="1">
        <f>7*$H$4+7*$H$5+6*$H$7+6*$H$6+6*$H$10+13*$H$13+19*$H$12</f>
        <v>-589.05481955749997</v>
      </c>
      <c r="E24" s="1">
        <f>(C24-D24)/64</f>
        <v>-0.88819800457031306</v>
      </c>
    </row>
    <row r="25" spans="1:5" x14ac:dyDescent="0.2">
      <c r="A25" s="1" t="s">
        <v>181</v>
      </c>
      <c r="B25" s="1" t="s">
        <v>73</v>
      </c>
      <c r="C25" s="1">
        <v>-660.84123281999996</v>
      </c>
      <c r="D25" s="1">
        <f>7*$H$3+7*$H$4+6*$H$8+6*$H$7+6*$H$11+13*$H$13+19*$H$12</f>
        <v>-604.01676834250009</v>
      </c>
      <c r="E25" s="1">
        <f>(C25-D25)/64</f>
        <v>-0.88788225746093552</v>
      </c>
    </row>
    <row r="26" spans="1:5" x14ac:dyDescent="0.2">
      <c r="A26" s="1" t="s">
        <v>182</v>
      </c>
      <c r="B26" s="1" t="s">
        <v>74</v>
      </c>
      <c r="C26" s="1">
        <v>-674.83130452</v>
      </c>
      <c r="D26" s="1">
        <f>7*$H$4+7*$H$5+6*$H$8+6*$H$7+6*$H$11+13*$H$13+19*$H$12</f>
        <v>-618.41356106750004</v>
      </c>
      <c r="E26" s="1">
        <f>(C26-D26)/64</f>
        <v>-0.88152724144531192</v>
      </c>
    </row>
    <row r="27" spans="1:5" x14ac:dyDescent="0.2">
      <c r="A27" s="1" t="s">
        <v>183</v>
      </c>
      <c r="B27" s="1" t="s">
        <v>75</v>
      </c>
      <c r="C27" s="1">
        <v>-642.01648645</v>
      </c>
      <c r="D27" s="1">
        <f>7*$H$3+7*$H$4+6*$H$8+6*$H$6+6*$H$10+13*$H$13+19*$H$12</f>
        <v>-585.7578079525</v>
      </c>
      <c r="E27" s="1">
        <f>(C27-D27)/64</f>
        <v>-0.8790418515234375</v>
      </c>
    </row>
    <row r="28" spans="1:5" x14ac:dyDescent="0.2">
      <c r="A28" s="1" t="s">
        <v>184</v>
      </c>
      <c r="B28" s="1" t="s">
        <v>76</v>
      </c>
      <c r="C28" s="1">
        <v>-630.47912810000003</v>
      </c>
      <c r="D28" s="1">
        <f>7*$H$3+7*$H$4+6*$H$7+6*$H$6+6*$H$10+13*$H$13+19*$H$12</f>
        <v>-574.65802683250001</v>
      </c>
      <c r="E28" s="1">
        <f>(C28-D28)/64</f>
        <v>-0.87220470730468769</v>
      </c>
    </row>
    <row r="29" spans="1:5" x14ac:dyDescent="0.2">
      <c r="A29" s="1" t="s">
        <v>185</v>
      </c>
      <c r="B29" s="1" t="s">
        <v>46</v>
      </c>
      <c r="C29" s="1">
        <v>-655.59801783</v>
      </c>
      <c r="D29" s="1">
        <f>7*$H$4+7*$H$5+6*$H$8+6*$H$6+6*$H$10+13*$H$13+19*$H$12</f>
        <v>-600.15460067749996</v>
      </c>
      <c r="E29" s="1">
        <f>(C29-D29)/64</f>
        <v>-0.86630339300781323</v>
      </c>
    </row>
    <row r="30" spans="1:5" x14ac:dyDescent="0.2">
      <c r="A30" s="1" t="s">
        <v>186</v>
      </c>
      <c r="B30" s="1" t="s">
        <v>77</v>
      </c>
      <c r="C30" s="1">
        <v>-653.98166097000001</v>
      </c>
      <c r="D30" s="1">
        <f>7*$H$4+7*$H$5+6*$H$8+6*$H$7+6*$H$9+13*$H$13+19*$H$12</f>
        <v>-598.5488175575</v>
      </c>
      <c r="E30" s="1">
        <f>(C30-D30)/64</f>
        <v>-0.86613817832031259</v>
      </c>
    </row>
    <row r="31" spans="1:5" x14ac:dyDescent="0.2">
      <c r="A31" s="1" t="s">
        <v>187</v>
      </c>
      <c r="B31" s="1" t="s">
        <v>47</v>
      </c>
      <c r="C31" s="1">
        <v>-657.06124749000003</v>
      </c>
      <c r="D31" s="1">
        <f>7*$H$4+7*$H$5+6*$H$7+6*$H$6+6*$H$11+13*$H$13+19*$H$12</f>
        <v>-601.97494763750001</v>
      </c>
      <c r="E31" s="1">
        <f>(C31-D31)/64</f>
        <v>-0.8607234351953128</v>
      </c>
    </row>
    <row r="32" spans="1:5" x14ac:dyDescent="0.2">
      <c r="A32" s="1" t="s">
        <v>188</v>
      </c>
      <c r="B32" s="1" t="s">
        <v>78</v>
      </c>
      <c r="C32" s="1">
        <v>-663.61491792000004</v>
      </c>
      <c r="D32" s="1">
        <f>7*$H$3+7*$H$5+6*$H$8+6*$H$6+6*$H$11+13*$H$13+19*$H$12</f>
        <v>-608.93095142750008</v>
      </c>
      <c r="E32" s="1">
        <f>(C32-D32)/64</f>
        <v>-0.85443697644531191</v>
      </c>
    </row>
    <row r="33" spans="1:5" x14ac:dyDescent="0.2">
      <c r="A33" s="1" t="s">
        <v>189</v>
      </c>
      <c r="B33" s="1" t="s">
        <v>79</v>
      </c>
      <c r="C33" s="1">
        <v>-622.44084567000004</v>
      </c>
      <c r="D33" s="1">
        <f>7*$H$3+7*$H$4+6*$H$6+6*$H$5+6*$H$9+13*$H$13+19*$H$12</f>
        <v>-567.80710194250003</v>
      </c>
      <c r="E33" s="1">
        <f>(C33-D33)/64</f>
        <v>-0.85365224574218779</v>
      </c>
    </row>
    <row r="34" spans="1:5" x14ac:dyDescent="0.2">
      <c r="A34" s="1" t="s">
        <v>190</v>
      </c>
      <c r="B34" s="1" t="s">
        <v>80</v>
      </c>
      <c r="C34" s="1">
        <v>-638.30904699999996</v>
      </c>
      <c r="D34" s="1">
        <f>7*$H$3+7*$H$4+6*$H$8+6*$H$7+6*$H$9+13*$H$13+19*$H$12</f>
        <v>-584.15202483250005</v>
      </c>
      <c r="E34" s="1">
        <f>(C34-D34)/64</f>
        <v>-0.84620347136718621</v>
      </c>
    </row>
    <row r="35" spans="1:5" x14ac:dyDescent="0.2">
      <c r="A35" s="1" t="s">
        <v>191</v>
      </c>
      <c r="B35" s="1" t="s">
        <v>81</v>
      </c>
      <c r="C35" s="1">
        <v>-643.09615522000001</v>
      </c>
      <c r="D35" s="1">
        <f>7*$H$3+7*$H$5+6*$H$9+6*$H$6+6*$H$8+13*$H$13+19*$H$12</f>
        <v>-589.06620791750004</v>
      </c>
      <c r="E35" s="1">
        <f>(C35-D35)/64</f>
        <v>-0.84421792660156214</v>
      </c>
    </row>
    <row r="36" spans="1:5" x14ac:dyDescent="0.2">
      <c r="A36" s="1" t="s">
        <v>192</v>
      </c>
      <c r="B36" s="1" t="s">
        <v>82</v>
      </c>
      <c r="C36" s="1">
        <v>-651.57374998</v>
      </c>
      <c r="D36" s="1">
        <f>7*$H$3+7*$H$4+6*$H$10+6*$H$5+6*$H$11+13*$H$13+19*$H$12</f>
        <v>-597.78279048249999</v>
      </c>
      <c r="E36" s="1">
        <f>(C36-D36)/64</f>
        <v>-0.84048374214843768</v>
      </c>
    </row>
    <row r="37" spans="1:5" x14ac:dyDescent="0.2">
      <c r="A37" s="1" t="s">
        <v>193</v>
      </c>
      <c r="B37" s="1" t="s">
        <v>83</v>
      </c>
      <c r="C37" s="1">
        <v>-631.71097626999995</v>
      </c>
      <c r="D37" s="1">
        <f>7*$H$3+7*$H$5+6*$H$6+6*$H$7+6*$H$9+13*$H$13+19*$H$12</f>
        <v>-577.96642679750005</v>
      </c>
      <c r="E37" s="1">
        <f>(C37-D37)/64</f>
        <v>-0.83975858550781091</v>
      </c>
    </row>
    <row r="38" spans="1:5" x14ac:dyDescent="0.2">
      <c r="A38" s="1" t="s">
        <v>194</v>
      </c>
      <c r="B38" s="1" t="s">
        <v>45</v>
      </c>
      <c r="C38" s="1">
        <v>-666.15124833000004</v>
      </c>
      <c r="D38" s="1">
        <f>7*$H$4+7*$H$5+6*$H$8+6*$H$6+6*$H$11+13*$H$13+19*$H$12</f>
        <v>-613.0747287575</v>
      </c>
      <c r="E38" s="1">
        <f>(C38-D38)/64</f>
        <v>-0.82932061832031323</v>
      </c>
    </row>
    <row r="39" spans="1:5" x14ac:dyDescent="0.2">
      <c r="A39" s="1" t="s">
        <v>195</v>
      </c>
      <c r="B39" s="1" t="s">
        <v>50</v>
      </c>
      <c r="C39" s="1">
        <v>-635.07660139999996</v>
      </c>
      <c r="D39" s="1">
        <f>7*$H$4+7*$H$5+6*$H$7+6*$H$6+6*$H$9+13*$H$13+19*$H$12</f>
        <v>-582.11020412749997</v>
      </c>
      <c r="E39" s="1">
        <f>(C39-D39)/64</f>
        <v>-0.82759995738281233</v>
      </c>
    </row>
    <row r="40" spans="1:5" x14ac:dyDescent="0.2">
      <c r="A40" s="1" t="s">
        <v>196</v>
      </c>
      <c r="B40" s="1" t="s">
        <v>84</v>
      </c>
      <c r="C40" s="1">
        <v>-651.15748326000005</v>
      </c>
      <c r="D40" s="1">
        <f>7*$H$3+7*$H$4+6*$H$8+6*$H$6+6*$H$11+13*$H$13+19*$H$12</f>
        <v>-598.67793603250004</v>
      </c>
      <c r="E40" s="1">
        <f>(C40-D40)/64</f>
        <v>-0.8199929254296876</v>
      </c>
    </row>
    <row r="41" spans="1:5" x14ac:dyDescent="0.2">
      <c r="A41" s="1" t="s">
        <v>197</v>
      </c>
      <c r="B41" s="1" t="s">
        <v>85</v>
      </c>
      <c r="C41" s="1">
        <v>-619.54449681999995</v>
      </c>
      <c r="D41" s="1">
        <f>7*$H$3+7*$H$4+6*$H$7+6*$H$6+6*$H$9+13*$H$13+19*$H$12</f>
        <v>-567.71341140250001</v>
      </c>
      <c r="E41" s="1">
        <f>(C41-D41)/64</f>
        <v>-0.80986070964843648</v>
      </c>
    </row>
    <row r="42" spans="1:5" x14ac:dyDescent="0.2">
      <c r="A42" s="1" t="s">
        <v>198</v>
      </c>
      <c r="B42" s="1" t="s">
        <v>86</v>
      </c>
      <c r="C42" s="1">
        <v>-639.37512489999995</v>
      </c>
      <c r="D42" s="1">
        <f>7*$H$3+7*$H$4+6*$H$6+6*$H$7+6*$H$11+13*$H$13+19*$H$12</f>
        <v>-587.57815491250005</v>
      </c>
      <c r="E42" s="1">
        <f>(C42-D42)/64</f>
        <v>-0.80932765605468582</v>
      </c>
    </row>
    <row r="43" spans="1:5" x14ac:dyDescent="0.2">
      <c r="A43" s="1" t="s">
        <v>199</v>
      </c>
      <c r="B43" s="1" t="s">
        <v>87</v>
      </c>
      <c r="C43" s="1">
        <v>-628.78866472000004</v>
      </c>
      <c r="D43" s="1">
        <f>7*$H$3+7*$H$4+6*$H$9+6*$H$5+6*$H$10+13*$H$13+19*$H$12</f>
        <v>-577.91804697249995</v>
      </c>
      <c r="E43" s="1">
        <f>(C43-D43)/64</f>
        <v>-0.79485340230468893</v>
      </c>
    </row>
    <row r="44" spans="1:5" x14ac:dyDescent="0.2">
      <c r="A44" s="1" t="s">
        <v>200</v>
      </c>
      <c r="B44" s="1" t="s">
        <v>88</v>
      </c>
      <c r="C44" s="1">
        <v>-629.32404756999995</v>
      </c>
      <c r="D44" s="1">
        <f>7*$H$3+7*$H$4+6*$H$8+6*$H$6+6*$H$9+13*$H$13+19*$H$12</f>
        <v>-578.8131925225</v>
      </c>
      <c r="E44" s="1">
        <f>(C44-D44)/64</f>
        <v>-0.78923211011718664</v>
      </c>
    </row>
    <row r="45" spans="1:5" x14ac:dyDescent="0.2">
      <c r="A45" s="1" t="s">
        <v>201</v>
      </c>
      <c r="B45" s="1" t="s">
        <v>51</v>
      </c>
      <c r="C45" s="1">
        <v>-643.43402207999998</v>
      </c>
      <c r="D45" s="1">
        <f>7*$H$4+7*$H$5+6*$H$8+6*$H$6+6*$H$9+13*$H$13+19*$H$12</f>
        <v>-593.20998524749996</v>
      </c>
      <c r="E45" s="1">
        <f>(C45-D45)/64</f>
        <v>-0.7847505755078128</v>
      </c>
    </row>
    <row r="46" spans="1:5" x14ac:dyDescent="0.2">
      <c r="A46" s="1" t="s">
        <v>202</v>
      </c>
      <c r="B46" s="1" t="s">
        <v>89</v>
      </c>
      <c r="C46" s="1">
        <v>-657.85942006000005</v>
      </c>
      <c r="D46" s="1">
        <f>7*$H$3+7*$H$6+6*$H$8+6*$H$7+6*$H$11+13*$H$13+19*$H$12</f>
        <v>-607.93184041250004</v>
      </c>
      <c r="E46" s="1">
        <f>(C46-D46)/64</f>
        <v>-0.78011843199218767</v>
      </c>
    </row>
    <row r="47" spans="1:5" x14ac:dyDescent="0.2">
      <c r="A47" s="1" t="s">
        <v>203</v>
      </c>
      <c r="B47" s="1" t="s">
        <v>90</v>
      </c>
      <c r="C47" s="1">
        <v>-658.93276478999996</v>
      </c>
      <c r="D47" s="1">
        <f>7*$H$5+7*$H$6+6*$H$7+6*$H$8+6*$H$10+13*$H$13+19*$H$12</f>
        <v>-609.40850505749995</v>
      </c>
      <c r="E47" s="1">
        <f>(C47-D47)/64</f>
        <v>-0.77381655832031271</v>
      </c>
    </row>
    <row r="48" spans="1:5" x14ac:dyDescent="0.2">
      <c r="A48" s="1" t="s">
        <v>204</v>
      </c>
      <c r="B48" s="1" t="s">
        <v>91</v>
      </c>
      <c r="C48" s="1">
        <v>-637.39330942000004</v>
      </c>
      <c r="D48" s="1">
        <f>7*$H$3+7*$H$6+6*$H$8+6*$H$7+6*$H$9+13*$H$13+19*$H$12</f>
        <v>-588.0670969025</v>
      </c>
      <c r="E48" s="1">
        <f>(C48-D48)/64</f>
        <v>-0.77072207058593811</v>
      </c>
    </row>
    <row r="49" spans="1:5" x14ac:dyDescent="0.2">
      <c r="A49" s="1" t="s">
        <v>205</v>
      </c>
      <c r="B49" s="1" t="s">
        <v>92</v>
      </c>
      <c r="C49" s="1">
        <v>-640.08177036999996</v>
      </c>
      <c r="D49" s="1">
        <f>7*$H$3+7*$H$4+6*$H$9+6*$H$5+6*$H$11+13*$H$13+19*$H$12</f>
        <v>-590.83817505249999</v>
      </c>
      <c r="E49" s="1">
        <f>(C49-D49)/64</f>
        <v>-0.76943117683593698</v>
      </c>
    </row>
    <row r="50" spans="1:5" x14ac:dyDescent="0.2">
      <c r="A50" s="1" t="s">
        <v>206</v>
      </c>
      <c r="B50" s="1" t="s">
        <v>93</v>
      </c>
      <c r="C50" s="1">
        <v>-648.18117498000004</v>
      </c>
      <c r="D50" s="1">
        <f>7*$H$3+7*$H$5+6*$H$8+6*$H$9+6*$H$10+13*$H$13+19*$H$12</f>
        <v>-599.17715294749996</v>
      </c>
      <c r="E50" s="1">
        <f>(C50-D50)/64</f>
        <v>-0.76568784425781367</v>
      </c>
    </row>
    <row r="51" spans="1:5" x14ac:dyDescent="0.2">
      <c r="A51" s="1" t="s">
        <v>207</v>
      </c>
      <c r="B51" s="1" t="s">
        <v>94</v>
      </c>
      <c r="C51" s="1">
        <v>-667.96410874000003</v>
      </c>
      <c r="D51" s="1">
        <f>7*$H$3+7*$H$5+6*$H$8+6*$H$10+6*$H$11+13*$H$13+19*$H$12</f>
        <v>-619.0418964575</v>
      </c>
      <c r="E51" s="1">
        <f>(C51-D51)/64</f>
        <v>-0.76440956691406292</v>
      </c>
    </row>
    <row r="52" spans="1:5" x14ac:dyDescent="0.2">
      <c r="A52" s="1" t="s">
        <v>208</v>
      </c>
      <c r="B52" s="1" t="s">
        <v>95</v>
      </c>
      <c r="C52" s="1">
        <v>-657.12717855000005</v>
      </c>
      <c r="D52" s="1">
        <f>7*$H$3+7*$H$4+6*$H$10+6*$H$8+6*$H$11+13*$H$13+19*$H$12</f>
        <v>-608.78888106250008</v>
      </c>
      <c r="E52" s="1">
        <f>(C52-D52)/64</f>
        <v>-0.75528589824218706</v>
      </c>
    </row>
    <row r="53" spans="1:5" x14ac:dyDescent="0.2">
      <c r="A53" s="1" t="s">
        <v>209</v>
      </c>
      <c r="B53" s="1" t="s">
        <v>96</v>
      </c>
      <c r="C53" s="1">
        <v>-643.31444681999994</v>
      </c>
      <c r="D53" s="1">
        <f>7*$H$3+7*$H$6+6*$H$8+6*$H$7+6*$H$10+13*$H$13+19*$H$12</f>
        <v>-595.0117123325</v>
      </c>
      <c r="E53" s="1">
        <f>(C53-D53)/64</f>
        <v>-0.75473022636718667</v>
      </c>
    </row>
    <row r="54" spans="1:5" x14ac:dyDescent="0.2">
      <c r="A54" s="1" t="s">
        <v>210</v>
      </c>
      <c r="B54" s="1" t="s">
        <v>97</v>
      </c>
      <c r="C54" s="1">
        <v>-650.75314704000004</v>
      </c>
      <c r="D54" s="1">
        <f>7*$H$5+7*$H$6+6*$H$7+6*$H$8+6*$H$9+13*$H$13+19*$H$12</f>
        <v>-602.46388962749995</v>
      </c>
      <c r="E54" s="1">
        <f>(C54-D54)/64</f>
        <v>-0.75451964707031394</v>
      </c>
    </row>
    <row r="55" spans="1:5" x14ac:dyDescent="0.2">
      <c r="A55" s="1" t="s">
        <v>211</v>
      </c>
      <c r="B55" s="1" t="s">
        <v>98</v>
      </c>
      <c r="C55" s="1">
        <v>-649.17618436999999</v>
      </c>
      <c r="D55" s="1">
        <f>7*$H$3+7*$H$5+6*$H$7+6*$H$9+6*$H$11+13*$H$13+19*$H$12</f>
        <v>-600.99749990750001</v>
      </c>
      <c r="E55" s="1">
        <f>(C55-D55)/64</f>
        <v>-0.75279194472656208</v>
      </c>
    </row>
    <row r="56" spans="1:5" x14ac:dyDescent="0.2">
      <c r="A56" s="1" t="s">
        <v>212</v>
      </c>
      <c r="B56" s="1" t="s">
        <v>99</v>
      </c>
      <c r="C56" s="1">
        <v>-645.82054670000002</v>
      </c>
      <c r="D56" s="1">
        <f>7*$H$3+7*$H$4+6*$H$10+6*$H$7+6*$H$11+13*$H$13+19*$H$12</f>
        <v>-597.68909994249998</v>
      </c>
      <c r="E56" s="1">
        <f>(C56-D56)/64</f>
        <v>-0.75205385558593818</v>
      </c>
    </row>
    <row r="57" spans="1:5" x14ac:dyDescent="0.2">
      <c r="A57" s="1" t="s">
        <v>213</v>
      </c>
      <c r="B57" s="1" t="s">
        <v>100</v>
      </c>
      <c r="C57" s="1">
        <v>-660.07592867999995</v>
      </c>
      <c r="D57" s="1">
        <f>7*$H$4+7*$H$5+6*$H$10+6*$H$7+6*$H$11+13*$H$13+19*$H$12</f>
        <v>-612.08589266750005</v>
      </c>
      <c r="E57" s="1">
        <f>(C57-D57)/64</f>
        <v>-0.74984431269531093</v>
      </c>
    </row>
    <row r="58" spans="1:5" x14ac:dyDescent="0.2">
      <c r="A58" s="1" t="s">
        <v>214</v>
      </c>
      <c r="B58" s="1" t="s">
        <v>101</v>
      </c>
      <c r="C58" s="1">
        <v>-639.91056289999995</v>
      </c>
      <c r="D58" s="1">
        <f>7*$H$4+7*$H$5+6*$H$9+6*$H$7+6*$H$10+13*$H$13+19*$H$12</f>
        <v>-592.22114915750001</v>
      </c>
      <c r="E58" s="1">
        <f>(C58-D58)/64</f>
        <v>-0.74514708972656152</v>
      </c>
    </row>
    <row r="59" spans="1:5" x14ac:dyDescent="0.2">
      <c r="A59" s="1" t="s">
        <v>215</v>
      </c>
      <c r="B59" s="1" t="s">
        <v>35</v>
      </c>
      <c r="C59" s="1">
        <v>-646.53090183999996</v>
      </c>
      <c r="D59" s="1">
        <f>7*$H$4+7*$H$6+6*$H$8+6*$H$7+6*$H$10+13*$H$13+19*$H$12</f>
        <v>-599.15548966250003</v>
      </c>
      <c r="E59" s="1">
        <f>(C59-D59)/64</f>
        <v>-0.74024081527343633</v>
      </c>
    </row>
    <row r="60" spans="1:5" x14ac:dyDescent="0.2">
      <c r="A60" s="1" t="s">
        <v>216</v>
      </c>
      <c r="B60" s="1" t="s">
        <v>102</v>
      </c>
      <c r="C60" s="1">
        <v>-669.35780182999997</v>
      </c>
      <c r="D60" s="1">
        <f>7*$H$5+7*$H$6+6*$H$7+6*$H$8+6*$H$11+13*$H$13+19*$H$12</f>
        <v>-622.32863313749999</v>
      </c>
      <c r="E60" s="1">
        <f>(C60-D60)/64</f>
        <v>-0.73483076082031218</v>
      </c>
    </row>
    <row r="61" spans="1:5" x14ac:dyDescent="0.2">
      <c r="A61" s="1" t="s">
        <v>217</v>
      </c>
      <c r="B61" s="1" t="s">
        <v>103</v>
      </c>
      <c r="C61" s="1">
        <v>-650.34390669000004</v>
      </c>
      <c r="D61" s="1">
        <f>7*$H$4+7*$H$5+6*$H$9+6*$H$8+6*$H$10+13*$H$13+19*$H$12</f>
        <v>-603.3209302775</v>
      </c>
      <c r="E61" s="1">
        <f>(C61-D61)/64</f>
        <v>-0.73473400644531317</v>
      </c>
    </row>
    <row r="62" spans="1:5" x14ac:dyDescent="0.2">
      <c r="A62" s="1" t="s">
        <v>218</v>
      </c>
      <c r="B62" s="1" t="s">
        <v>104</v>
      </c>
      <c r="C62" s="1">
        <v>-624.83699204000004</v>
      </c>
      <c r="D62" s="1">
        <f>7*$H$3+7*$H$4+6*$H$9+6*$H$7+6*$H$10+13*$H$13+19*$H$12</f>
        <v>-577.82435643250005</v>
      </c>
      <c r="E62" s="1">
        <f>(C62-D62)/64</f>
        <v>-0.73457243136718731</v>
      </c>
    </row>
    <row r="63" spans="1:5" x14ac:dyDescent="0.2">
      <c r="A63" s="1" t="s">
        <v>219</v>
      </c>
      <c r="B63" s="1" t="s">
        <v>105</v>
      </c>
      <c r="C63" s="1">
        <v>-670.04338024000003</v>
      </c>
      <c r="D63" s="1">
        <f>7*$H$4+7*$H$5+6*$H$10+6*$H$8+6*$H$11+13*$H$13+19*$H$12</f>
        <v>-623.18567378750004</v>
      </c>
      <c r="E63" s="1">
        <f>(C63-D63)/64</f>
        <v>-0.73215166332031245</v>
      </c>
    </row>
    <row r="64" spans="1:5" x14ac:dyDescent="0.2">
      <c r="A64" s="1" t="s">
        <v>220</v>
      </c>
      <c r="B64" s="1" t="s">
        <v>106</v>
      </c>
      <c r="C64" s="1">
        <v>-658.87559915999998</v>
      </c>
      <c r="D64" s="1">
        <f>7*$H$3+7*$H$5+6*$H$8+6*$H$9+6*$H$11+13*$H$13+19*$H$12</f>
        <v>-612.0972810275</v>
      </c>
      <c r="E64" s="1">
        <f>(C64-D64)/64</f>
        <v>-0.73091122082031212</v>
      </c>
    </row>
    <row r="65" spans="1:5" x14ac:dyDescent="0.2">
      <c r="A65" s="1" t="s">
        <v>221</v>
      </c>
      <c r="B65" s="1" t="s">
        <v>107</v>
      </c>
      <c r="C65" s="1">
        <v>-649.07235693999996</v>
      </c>
      <c r="D65" s="1">
        <f>7*$H$3+7*$H$5+6*$H$6+6*$H$10+6*$H$11+13*$H$13+19*$H$12</f>
        <v>-602.60328302749997</v>
      </c>
      <c r="E65" s="1">
        <f>(C65-D65)/64</f>
        <v>-0.7260792798828124</v>
      </c>
    </row>
    <row r="66" spans="1:5" x14ac:dyDescent="0.2">
      <c r="A66" s="1" t="s">
        <v>222</v>
      </c>
      <c r="B66" s="1" t="s">
        <v>108</v>
      </c>
      <c r="C66" s="1">
        <v>-651.13007145999995</v>
      </c>
      <c r="D66" s="1">
        <f>7*$H$4+7*$H$5+6*$H$9+6*$H$7+6*$H$11+13*$H$13+19*$H$12</f>
        <v>-605.14127723750005</v>
      </c>
      <c r="E66" s="1">
        <f>(C66-D66)/64</f>
        <v>-0.71857490972656102</v>
      </c>
    </row>
    <row r="67" spans="1:5" x14ac:dyDescent="0.2">
      <c r="A67" s="1" t="s">
        <v>223</v>
      </c>
      <c r="B67" s="1" t="s">
        <v>109</v>
      </c>
      <c r="C67" s="1">
        <v>-636.37556351000001</v>
      </c>
      <c r="D67" s="1">
        <f>7*$H$3+7*$H$4+6*$H$9+6*$H$7+6*$H$11+13*$H$13+19*$H$12</f>
        <v>-590.74448451249998</v>
      </c>
      <c r="E67" s="1">
        <f>(C67-D67)/64</f>
        <v>-0.71298560933593791</v>
      </c>
    </row>
    <row r="68" spans="1:5" x14ac:dyDescent="0.2">
      <c r="A68" s="1" t="s">
        <v>224</v>
      </c>
      <c r="B68" s="1" t="s">
        <v>156</v>
      </c>
      <c r="C68" s="1">
        <v>-633.68808704000003</v>
      </c>
      <c r="D68" s="1">
        <f>7*$H$3+7*$H$5+6*$H$7+6*$H$9+6*$H$10+13*$H$13+19*$H$12</f>
        <v>-588.07737182749997</v>
      </c>
      <c r="E68" s="1">
        <f>(C68-D68)/64</f>
        <v>-0.71266742519531334</v>
      </c>
    </row>
    <row r="69" spans="1:5" x14ac:dyDescent="0.2">
      <c r="A69" s="1" t="s">
        <v>225</v>
      </c>
      <c r="B69" s="1" t="s">
        <v>110</v>
      </c>
      <c r="C69" s="1">
        <v>-653.49482647000002</v>
      </c>
      <c r="D69" s="1">
        <f>7*$H$3+7*$H$5+6*$H$7+6*$H$10+6*$H$11+13*$H$13+19*$H$12</f>
        <v>-607.94211533750001</v>
      </c>
      <c r="E69" s="1">
        <f>(C69-D69)/64</f>
        <v>-0.71176111144531262</v>
      </c>
    </row>
    <row r="70" spans="1:5" x14ac:dyDescent="0.2">
      <c r="A70" s="1" t="s">
        <v>226</v>
      </c>
      <c r="B70" s="1" t="s">
        <v>36</v>
      </c>
      <c r="C70" s="1">
        <v>-637.60652674999994</v>
      </c>
      <c r="D70" s="1">
        <f>7*$H$4+7*$H$6+6*$H$8+6*$H$7+6*$H$9+13*$H$13+19*$H$12</f>
        <v>-592.21087423250003</v>
      </c>
      <c r="E70" s="1">
        <f>(C70-D70)/64</f>
        <v>-0.70930707058593612</v>
      </c>
    </row>
    <row r="71" spans="1:5" x14ac:dyDescent="0.2">
      <c r="A71" s="1" t="s">
        <v>227</v>
      </c>
      <c r="B71" s="1" t="s">
        <v>111</v>
      </c>
      <c r="C71" s="1">
        <v>-640.99326200999997</v>
      </c>
      <c r="D71" s="1">
        <f>7*$H$3+7*$H$5+6*$H$6+6*$H$9+6*$H$11+13*$H$13+19*$H$12</f>
        <v>-595.65866759749997</v>
      </c>
      <c r="E71" s="1">
        <f>(C71-D71)/64</f>
        <v>-0.70835303769531244</v>
      </c>
    </row>
    <row r="72" spans="1:5" x14ac:dyDescent="0.2">
      <c r="A72" s="1" t="s">
        <v>228</v>
      </c>
      <c r="B72" s="1" t="s">
        <v>112</v>
      </c>
      <c r="C72" s="1">
        <v>-627.99211276999995</v>
      </c>
      <c r="D72" s="1">
        <f>7*$H$3+7*$H$5+6*$H$6+6*$H$9+6*$H$10+13*$H$13+19*$H$12</f>
        <v>-582.73853951750004</v>
      </c>
      <c r="E72" s="1">
        <f>(C72-D72)/64</f>
        <v>-0.70708708207031101</v>
      </c>
    </row>
    <row r="73" spans="1:5" x14ac:dyDescent="0.2">
      <c r="A73" s="1" t="s">
        <v>229</v>
      </c>
      <c r="B73" s="1" t="s">
        <v>113</v>
      </c>
      <c r="C73" s="1">
        <v>-661.35347618000003</v>
      </c>
      <c r="D73" s="1">
        <f>7*$H$4+7*$H$5+6*$H$9+6*$H$8+6*$H$11+13*$H$13+19*$H$12</f>
        <v>-616.24105835750004</v>
      </c>
      <c r="E73" s="1">
        <f>(C73-D73)/64</f>
        <v>-0.70488152847656238</v>
      </c>
    </row>
    <row r="74" spans="1:5" x14ac:dyDescent="0.2">
      <c r="A74" s="1" t="s">
        <v>230</v>
      </c>
      <c r="B74" s="1" t="s">
        <v>114</v>
      </c>
      <c r="C74" s="1">
        <v>-633.94077415000004</v>
      </c>
      <c r="D74" s="1">
        <f>7*$H$3+7*$H$4+6*$H$9+6*$H$8+6*$H$10+13*$H$13+19*$H$12</f>
        <v>-588.92413755250004</v>
      </c>
      <c r="E74" s="1">
        <f>(C74-D74)/64</f>
        <v>-0.70338494683593744</v>
      </c>
    </row>
    <row r="75" spans="1:5" x14ac:dyDescent="0.2">
      <c r="A75" s="1" t="s">
        <v>231</v>
      </c>
      <c r="B75" s="1" t="s">
        <v>115</v>
      </c>
      <c r="C75" s="1">
        <v>-636.74916443999996</v>
      </c>
      <c r="D75" s="1">
        <f>7*$H$3+7*$H$4+6*$H$10+6*$H$6+6*$H$11+13*$H$13+19*$H$12</f>
        <v>-592.35026763250005</v>
      </c>
      <c r="E75" s="1">
        <f>(C75-D75)/64</f>
        <v>-0.69373276261718608</v>
      </c>
    </row>
    <row r="76" spans="1:5" x14ac:dyDescent="0.2">
      <c r="A76" s="1" t="s">
        <v>232</v>
      </c>
      <c r="B76" s="1" t="s">
        <v>116</v>
      </c>
      <c r="C76" s="1">
        <v>-657.37472666999997</v>
      </c>
      <c r="D76" s="1">
        <f>7*$H$5+7*$H$7+6*$H$8+6*$H$9+6*$H$10+13*$H$13+19*$H$12</f>
        <v>-613.46464004250004</v>
      </c>
      <c r="E76" s="1">
        <f>(C76-D76)/64</f>
        <v>-0.6860951035546865</v>
      </c>
    </row>
    <row r="77" spans="1:5" x14ac:dyDescent="0.2">
      <c r="A77" s="1" t="s">
        <v>233</v>
      </c>
      <c r="B77" s="1" t="s">
        <v>117</v>
      </c>
      <c r="C77" s="1">
        <v>-645.71120303999999</v>
      </c>
      <c r="D77" s="1">
        <f>7*$H$3+7*$H$4+6*$H$9+6*$H$8+6*$H$11+13*$H$13+19*$H$12</f>
        <v>-601.84426563250008</v>
      </c>
      <c r="E77" s="1">
        <f>(C77-D77)/64</f>
        <v>-0.685420896992186</v>
      </c>
    </row>
    <row r="78" spans="1:5" x14ac:dyDescent="0.2">
      <c r="A78" s="1" t="s">
        <v>234</v>
      </c>
      <c r="B78" s="1" t="s">
        <v>118</v>
      </c>
      <c r="C78" s="1">
        <v>-662.67252971000005</v>
      </c>
      <c r="D78" s="1">
        <f>7*$H$3+7*$H$7+6*$H$10+6*$H$8+6*$H$11+13*$H$13+19*$H$12</f>
        <v>-618.93259082750001</v>
      </c>
      <c r="E78" s="1">
        <f>(C78-D78)/64</f>
        <v>-0.68343654503906315</v>
      </c>
    </row>
    <row r="79" spans="1:5" x14ac:dyDescent="0.2">
      <c r="A79" s="1" t="s">
        <v>235</v>
      </c>
      <c r="B79" s="1" t="s">
        <v>119</v>
      </c>
      <c r="C79" s="1">
        <v>-630.37461447999999</v>
      </c>
      <c r="D79" s="1">
        <f>7*$H$4+7*$H$5+6*$H$9+6*$H$6+6*$H$10+13*$H$13+19*$H$12</f>
        <v>-586.88231684749996</v>
      </c>
      <c r="E79" s="1">
        <f>(C79-D79)/64</f>
        <v>-0.67956715050781291</v>
      </c>
    </row>
    <row r="80" spans="1:5" x14ac:dyDescent="0.2">
      <c r="A80" s="1" t="s">
        <v>236</v>
      </c>
      <c r="B80" s="1" t="s">
        <v>120</v>
      </c>
      <c r="C80" s="1">
        <v>-649.98736391</v>
      </c>
      <c r="D80" s="1">
        <f>7*$H$4+7*$H$5+6*$H$10+6*$H$6+6*$H$11+13*$H$13+19*$H$12</f>
        <v>-606.7470603575</v>
      </c>
      <c r="E80" s="1">
        <f>(C80-D80)/64</f>
        <v>-0.67562974300781242</v>
      </c>
    </row>
    <row r="81" spans="1:5" x14ac:dyDescent="0.2">
      <c r="A81" s="1" t="s">
        <v>237</v>
      </c>
      <c r="B81" s="1" t="s">
        <v>121</v>
      </c>
      <c r="C81" s="1">
        <v>-615.24730867999995</v>
      </c>
      <c r="D81" s="1">
        <f>7*$H$3+7*$H$4+6*$H$9+6*$H$6+6*$H$10+13*$H$13+19*$H$12</f>
        <v>-572.48552412250001</v>
      </c>
      <c r="E81" s="1">
        <f>(C81-D81)/64</f>
        <v>-0.66815288371093651</v>
      </c>
    </row>
    <row r="82" spans="1:5" x14ac:dyDescent="0.2">
      <c r="A82" s="1" t="s">
        <v>238</v>
      </c>
      <c r="B82" s="1" t="s">
        <v>122</v>
      </c>
      <c r="C82" s="1">
        <v>-675.71549838999999</v>
      </c>
      <c r="D82" s="1">
        <f>7*$H$5+7*$H$7+6*$H$8+6*$H$10+6*$H$11+13*$H$13+19*$H$12</f>
        <v>-633.32938355250008</v>
      </c>
      <c r="E82" s="1">
        <f>(C82-D82)/64</f>
        <v>-0.66228304433593621</v>
      </c>
    </row>
    <row r="83" spans="1:5" x14ac:dyDescent="0.2">
      <c r="A83" s="1" t="s">
        <v>239</v>
      </c>
      <c r="B83" s="1" t="s">
        <v>123</v>
      </c>
      <c r="C83" s="1">
        <v>-641.90113126999995</v>
      </c>
      <c r="D83" s="1">
        <f>7*$H$4+7*$H$5+6*$H$9+6*$H$6+6*$H$11+13*$H$13+19*$H$12</f>
        <v>-599.80244492750001</v>
      </c>
      <c r="E83" s="1">
        <f>(C83-D83)/64</f>
        <v>-0.65779197410156165</v>
      </c>
    </row>
    <row r="84" spans="1:5" x14ac:dyDescent="0.2">
      <c r="A84" s="1" t="s">
        <v>240</v>
      </c>
      <c r="B84" s="1" t="s">
        <v>124</v>
      </c>
      <c r="C84" s="1">
        <v>-643.68386969999995</v>
      </c>
      <c r="D84" s="1">
        <f>7*$H$3+7*$H$6+6*$H$10+6*$H$7+6*$H$11+13*$H$13+19*$H$12</f>
        <v>-601.60417201250004</v>
      </c>
      <c r="E84" s="1">
        <f>(C84-D84)/64</f>
        <v>-0.65749527636718597</v>
      </c>
    </row>
    <row r="85" spans="1:5" x14ac:dyDescent="0.2">
      <c r="A85" s="1" t="s">
        <v>241</v>
      </c>
      <c r="B85" s="1" t="s">
        <v>125</v>
      </c>
      <c r="C85" s="1">
        <v>-668.20055428000001</v>
      </c>
      <c r="D85" s="1">
        <f>7*$H$5+7*$H$7+6*$H$8+6*$H$9+6*$H$11+13*$H$13+19*$H$12</f>
        <v>-626.38476812250008</v>
      </c>
      <c r="E85" s="1">
        <f>(C85-D85)/64</f>
        <v>-0.65337165871093639</v>
      </c>
    </row>
    <row r="86" spans="1:5" x14ac:dyDescent="0.2">
      <c r="A86" s="1" t="s">
        <v>242</v>
      </c>
      <c r="B86" s="1" t="s">
        <v>126</v>
      </c>
      <c r="C86" s="1">
        <v>-627.00554847000001</v>
      </c>
      <c r="D86" s="1">
        <f>7*$H$3+7*$H$4+6*$H$9+6*$H$6+6*$H$11+13*$H$13+19*$H$12</f>
        <v>-585.40565220250005</v>
      </c>
      <c r="E86" s="1">
        <f>(C86-D86)/64</f>
        <v>-0.64999837917968684</v>
      </c>
    </row>
    <row r="87" spans="1:5" x14ac:dyDescent="0.2">
      <c r="A87" s="1" t="s">
        <v>243</v>
      </c>
      <c r="B87" s="1" t="s">
        <v>127</v>
      </c>
      <c r="C87" s="1">
        <v>-634.40906825000002</v>
      </c>
      <c r="D87" s="1">
        <f>7*$H$3+7*$H$6+6*$H$9+6*$H$8+6*$H$10+13*$H$13+19*$H$12</f>
        <v>-592.83920962249999</v>
      </c>
      <c r="E87" s="1">
        <f>(C87-D87)/64</f>
        <v>-0.64952904105468789</v>
      </c>
    </row>
    <row r="88" spans="1:5" x14ac:dyDescent="0.2">
      <c r="A88" s="1" t="s">
        <v>244</v>
      </c>
      <c r="B88" s="1" t="s">
        <v>43</v>
      </c>
      <c r="C88" s="1">
        <v>-644.54996932999995</v>
      </c>
      <c r="D88" s="1">
        <f>7*$H$4+7*$H$7+6*$H$9+6*$H$8+6*$H$10+13*$H$13+19*$H$12</f>
        <v>-603.2116246475</v>
      </c>
      <c r="E88" s="1">
        <f>(C88-D88)/64</f>
        <v>-0.64591163566406173</v>
      </c>
    </row>
    <row r="89" spans="1:5" x14ac:dyDescent="0.2">
      <c r="A89" s="1" t="s">
        <v>245</v>
      </c>
      <c r="B89" s="1" t="s">
        <v>128</v>
      </c>
      <c r="C89" s="1">
        <v>-653.73033814999997</v>
      </c>
      <c r="D89" s="1">
        <f>7*$H$3+7*$H$6+6*$H$10+6*$H$8+6*$H$11+13*$H$13+19*$H$12</f>
        <v>-612.70395313250003</v>
      </c>
      <c r="E89" s="1">
        <f>(C89-D89)/64</f>
        <v>-0.64103726589843646</v>
      </c>
    </row>
    <row r="90" spans="1:5" x14ac:dyDescent="0.2">
      <c r="A90" s="1" t="s">
        <v>246</v>
      </c>
      <c r="B90" s="1" t="s">
        <v>129</v>
      </c>
      <c r="C90" s="1">
        <v>-637.09433885999999</v>
      </c>
      <c r="D90" s="1">
        <f>7*$H$5+7*$H$6+6*$H$7+6*$H$9+6*$H$10+13*$H$13+19*$H$12</f>
        <v>-596.13622122749996</v>
      </c>
      <c r="E90" s="1">
        <f>(C90-D90)/64</f>
        <v>-0.63997058800781303</v>
      </c>
    </row>
    <row r="91" spans="1:5" x14ac:dyDescent="0.2">
      <c r="A91" s="1" t="s">
        <v>247</v>
      </c>
      <c r="B91" s="1" t="s">
        <v>130</v>
      </c>
      <c r="C91" s="1">
        <v>-622.57591768999998</v>
      </c>
      <c r="D91" s="1">
        <f>7*$H$3+7*$H$6+6*$H$9+6*$H$7+6*$H$10+13*$H$13+19*$H$12</f>
        <v>-581.7394285025</v>
      </c>
      <c r="E91" s="1">
        <f>(C91-D91)/64</f>
        <v>-0.63807014355468716</v>
      </c>
    </row>
    <row r="92" spans="1:5" x14ac:dyDescent="0.2">
      <c r="A92" s="1" t="s">
        <v>248</v>
      </c>
      <c r="B92" s="1" t="s">
        <v>131</v>
      </c>
      <c r="C92" s="1">
        <v>-647.68471333000002</v>
      </c>
      <c r="D92" s="1">
        <f>7*$H$5+7*$H$6+6*$H$8+6*$H$9+6*$H$10+13*$H$13+19*$H$12</f>
        <v>-607.23600234749995</v>
      </c>
      <c r="E92" s="1">
        <f>(C92-D92)/64</f>
        <v>-0.63201110910156366</v>
      </c>
    </row>
    <row r="93" spans="1:5" x14ac:dyDescent="0.2">
      <c r="A93" s="1" t="s">
        <v>249</v>
      </c>
      <c r="B93" s="1" t="s">
        <v>132</v>
      </c>
      <c r="C93" s="1">
        <v>-639.44798268</v>
      </c>
      <c r="D93" s="1">
        <f>7*$H$3+7*$H$7+6*$H$9+6*$H$8+6*$H$10+13*$H$13+19*$H$12</f>
        <v>-599.06784731749997</v>
      </c>
      <c r="E93" s="1">
        <f>(C93-D93)/64</f>
        <v>-0.63093961503906293</v>
      </c>
    </row>
    <row r="94" spans="1:5" x14ac:dyDescent="0.2">
      <c r="A94" s="1" t="s">
        <v>250</v>
      </c>
      <c r="B94" s="1" t="s">
        <v>133</v>
      </c>
      <c r="C94" s="1">
        <v>-645.65646374999994</v>
      </c>
      <c r="D94" s="1">
        <f>7*$H$3+7*$H$6+6*$H$9+6*$H$8+6*$H$11+13*$H$13+19*$H$12</f>
        <v>-605.75933770250003</v>
      </c>
      <c r="E94" s="1">
        <f>(C94-D94)/64</f>
        <v>-0.62339259449218609</v>
      </c>
    </row>
    <row r="95" spans="1:5" x14ac:dyDescent="0.2">
      <c r="A95" s="1" t="s">
        <v>251</v>
      </c>
      <c r="B95" s="1" t="s">
        <v>134</v>
      </c>
      <c r="C95" s="1">
        <v>-655.77587152000001</v>
      </c>
      <c r="D95" s="1">
        <f>7*$H$5+7*$H$6+6*$H$7+6*$H$10+6*$H$11+13*$H$13+19*$H$12</f>
        <v>-616.0009647375</v>
      </c>
      <c r="E95" s="1">
        <f>(C95-D95)/64</f>
        <v>-0.62148291847656267</v>
      </c>
    </row>
    <row r="96" spans="1:5" x14ac:dyDescent="0.2">
      <c r="A96" s="1" t="s">
        <v>252</v>
      </c>
      <c r="B96" s="1" t="s">
        <v>42</v>
      </c>
      <c r="C96" s="1">
        <v>-655.41448262999995</v>
      </c>
      <c r="D96" s="1">
        <f>7*$H$4+7*$H$7+6*$H$9+6*$H$8+6*$H$11+13*$H$13+19*$H$12</f>
        <v>-616.13175272750004</v>
      </c>
      <c r="E96" s="1">
        <f>(C96-D96)/64</f>
        <v>-0.61379265472656108</v>
      </c>
    </row>
    <row r="97" spans="1:5" x14ac:dyDescent="0.2">
      <c r="A97" s="1" t="s">
        <v>253</v>
      </c>
      <c r="B97" s="1" t="s">
        <v>135</v>
      </c>
      <c r="C97" s="1">
        <v>-648.28536441999995</v>
      </c>
      <c r="D97" s="1">
        <f>7*$H$5+7*$H$6+6*$H$7+6*$H$9+6*$H$11+13*$H$13+19*$H$12</f>
        <v>-609.0563493075</v>
      </c>
      <c r="E97" s="1">
        <f>(C97-D97)/64</f>
        <v>-0.61295336113281174</v>
      </c>
    </row>
    <row r="98" spans="1:5" x14ac:dyDescent="0.2">
      <c r="A98" s="1" t="s">
        <v>254</v>
      </c>
      <c r="B98" s="1" t="s">
        <v>136</v>
      </c>
      <c r="C98" s="1">
        <v>-651.18667800000003</v>
      </c>
      <c r="D98" s="1">
        <f>7*$H$3+7*$H$7+6*$H$9+6*$H$8+6*$H$11+13*$H$13+19*$H$12</f>
        <v>-611.98797539750001</v>
      </c>
      <c r="E98" s="1">
        <f>(C98-D98)/64</f>
        <v>-0.61247972816406282</v>
      </c>
    </row>
    <row r="99" spans="1:5" x14ac:dyDescent="0.2">
      <c r="A99" s="1" t="s">
        <v>255</v>
      </c>
      <c r="B99" s="1" t="s">
        <v>137</v>
      </c>
      <c r="C99" s="1">
        <v>-633.72624127999995</v>
      </c>
      <c r="D99" s="1">
        <f>7*$H$3+7*$H$6+6*$H$9+6*$H$7+6*$H$11+13*$H$13+19*$H$12</f>
        <v>-594.65955658250004</v>
      </c>
      <c r="E99" s="1">
        <f>(C99-D99)/64</f>
        <v>-0.61041694839843608</v>
      </c>
    </row>
    <row r="100" spans="1:5" x14ac:dyDescent="0.2">
      <c r="A100" s="1" t="s">
        <v>256</v>
      </c>
      <c r="B100" s="1" t="s">
        <v>138</v>
      </c>
      <c r="C100" s="1">
        <v>-643.96263718</v>
      </c>
      <c r="D100" s="1">
        <f>7*$H$3+7*$H$5+6*$H$9+6*$H$10+6*$H$11+13*$H$13+19*$H$12</f>
        <v>-605.76961262750001</v>
      </c>
      <c r="E100" s="1">
        <f>(C100-D100)/64</f>
        <v>-0.59676600863281237</v>
      </c>
    </row>
    <row r="101" spans="1:5" x14ac:dyDescent="0.2">
      <c r="A101" s="1" t="s">
        <v>257</v>
      </c>
      <c r="B101" s="1" t="s">
        <v>139</v>
      </c>
      <c r="C101" s="1">
        <v>-657.91007018000005</v>
      </c>
      <c r="D101" s="1">
        <f>7*$H$5+7*$H$6+6*$H$8+6*$H$9+6*$H$11+13*$H$13+19*$H$12</f>
        <v>-620.15613042749999</v>
      </c>
      <c r="E101" s="1">
        <f>(C101-D101)/64</f>
        <v>-0.58990530863281343</v>
      </c>
    </row>
    <row r="102" spans="1:5" x14ac:dyDescent="0.2">
      <c r="A102" s="1" t="s">
        <v>258</v>
      </c>
      <c r="B102" s="1" t="s">
        <v>140</v>
      </c>
      <c r="C102" s="1">
        <v>-664.58947598999998</v>
      </c>
      <c r="D102" s="1">
        <f>7*$H$5+7*$H$6+6*$H$8+6*$H$10+6*$H$11+13*$H$13+19*$H$12</f>
        <v>-627.10074585749999</v>
      </c>
      <c r="E102" s="1">
        <f>(C102-D102)/64</f>
        <v>-0.58576140832031243</v>
      </c>
    </row>
    <row r="103" spans="1:5" x14ac:dyDescent="0.2">
      <c r="A103" s="1" t="s">
        <v>259</v>
      </c>
      <c r="B103" s="1" t="s">
        <v>141</v>
      </c>
      <c r="C103" s="1">
        <v>-660.55036532999998</v>
      </c>
      <c r="D103" s="1">
        <f>7*$H$4+7*$H$7+6*$H$8+6*$H$10+6*$H$11+13*$H$13+19*$H$12</f>
        <v>-623.07636815750004</v>
      </c>
      <c r="E103" s="1">
        <f>(C103-D103)/64</f>
        <v>-0.58553120582031148</v>
      </c>
    </row>
    <row r="104" spans="1:5" x14ac:dyDescent="0.2">
      <c r="A104" s="1" t="s">
        <v>260</v>
      </c>
      <c r="B104" s="1" t="s">
        <v>33</v>
      </c>
      <c r="C104" s="1">
        <v>-634.40905578000002</v>
      </c>
      <c r="D104" s="1">
        <f>7*$H$4+7*$H$6+6*$H$9+6*$H$8+6*$H$10+13*$H$13+19*$H$12</f>
        <v>-596.98298695250003</v>
      </c>
      <c r="E104" s="1">
        <f>(C104-D104)/64</f>
        <v>-0.58478232542968733</v>
      </c>
    </row>
    <row r="105" spans="1:5" x14ac:dyDescent="0.2">
      <c r="A105" s="1" t="s">
        <v>261</v>
      </c>
      <c r="B105" s="1" t="s">
        <v>39</v>
      </c>
      <c r="C105" s="1">
        <v>-623.09479707000003</v>
      </c>
      <c r="D105" s="1">
        <f>7*$H$4+7*$H$6+6*$H$9+6*$H$7+6*$H$10+13*$H$13+19*$H$12</f>
        <v>-585.88320583250004</v>
      </c>
      <c r="E105" s="1">
        <f>(C105-D105)/64</f>
        <v>-0.58143111308593731</v>
      </c>
    </row>
    <row r="106" spans="1:5" x14ac:dyDescent="0.2">
      <c r="A106" s="1" t="s">
        <v>262</v>
      </c>
      <c r="B106" s="1" t="s">
        <v>37</v>
      </c>
      <c r="C106" s="1">
        <v>-642.60352131000002</v>
      </c>
      <c r="D106" s="1">
        <f>7*$H$4+7*$H$6+6*$H$10+6*$H$7+6*$H$11+13*$H$13+19*$H$12</f>
        <v>-605.74794934249996</v>
      </c>
      <c r="E106" s="1">
        <f>(C106-D106)/64</f>
        <v>-0.57586831199218835</v>
      </c>
    </row>
    <row r="107" spans="1:5" x14ac:dyDescent="0.2">
      <c r="A107" s="1" t="s">
        <v>263</v>
      </c>
      <c r="B107" s="1" t="s">
        <v>142</v>
      </c>
      <c r="C107" s="1">
        <v>-646.48846866999997</v>
      </c>
      <c r="D107" s="1">
        <f>7*$H$4+7*$H$5+6*$H$10+6*$H$9+6*$H$11+13*$H$13+19*$H$12</f>
        <v>-609.91338995750004</v>
      </c>
      <c r="E107" s="1">
        <f>(C107-D107)/64</f>
        <v>-0.57148560488281142</v>
      </c>
    </row>
    <row r="108" spans="1:5" x14ac:dyDescent="0.2">
      <c r="A108" s="1" t="s">
        <v>264</v>
      </c>
      <c r="B108" s="1" t="s">
        <v>143</v>
      </c>
      <c r="C108" s="1">
        <v>-631.75849692999998</v>
      </c>
      <c r="D108" s="1">
        <f>7*$H$3+7*$H$4+6*$H$10+6*$H$9+6*$H$11+13*$H$13+19*$H$12</f>
        <v>-595.51659723249998</v>
      </c>
      <c r="E108" s="1">
        <f>(C108-D108)/64</f>
        <v>-0.56627968277343754</v>
      </c>
    </row>
    <row r="109" spans="1:5" x14ac:dyDescent="0.2">
      <c r="A109" s="1" t="s">
        <v>265</v>
      </c>
      <c r="B109" s="1" t="s">
        <v>31</v>
      </c>
      <c r="C109" s="1">
        <v>-653.05158111000003</v>
      </c>
      <c r="D109" s="1">
        <f>7*$H$4+7*$H$6+6*$H$10+6*$H$8+6*$H$11+13*$H$13+19*$H$12</f>
        <v>-616.84773046250007</v>
      </c>
      <c r="E109" s="1">
        <f>(C109-D109)/64</f>
        <v>-0.56568516636718691</v>
      </c>
    </row>
    <row r="110" spans="1:5" x14ac:dyDescent="0.2">
      <c r="A110" s="1" t="s">
        <v>266</v>
      </c>
      <c r="B110" s="1" t="s">
        <v>38</v>
      </c>
      <c r="C110" s="1">
        <v>-634.89450997999995</v>
      </c>
      <c r="D110" s="1">
        <f>7*$H$4+7*$H$6+6*$H$9+6*$H$7+6*$H$11+13*$H$13+19*$H$12</f>
        <v>-598.80333391249997</v>
      </c>
      <c r="E110" s="1">
        <f>(C110-D110)/64</f>
        <v>-0.56392462605468729</v>
      </c>
    </row>
    <row r="111" spans="1:5" x14ac:dyDescent="0.2">
      <c r="A111" s="1" t="s">
        <v>267</v>
      </c>
      <c r="B111" s="1" t="s">
        <v>32</v>
      </c>
      <c r="C111" s="1">
        <v>-644.76947591999999</v>
      </c>
      <c r="D111" s="1">
        <f>7*$H$4+7*$H$6+6*$H$9+6*$H$8+6*$H$11+13*$H$13+19*$H$12</f>
        <v>-609.90311503250007</v>
      </c>
      <c r="E111" s="1">
        <f>(C111-D111)/64</f>
        <v>-0.54478688886718629</v>
      </c>
    </row>
    <row r="112" spans="1:5" x14ac:dyDescent="0.2">
      <c r="A112" s="1" t="s">
        <v>268</v>
      </c>
      <c r="B112" s="1" t="s">
        <v>144</v>
      </c>
      <c r="C112" s="1">
        <v>-641.59109368999998</v>
      </c>
      <c r="D112" s="1">
        <f>7*$H$6+7*$H$7+6*$H$9+6*$H$8+6*$H$10+13*$H$13+19*$H$12</f>
        <v>-607.12669671749995</v>
      </c>
      <c r="E112" s="1">
        <f>(C112-D112)/64</f>
        <v>-0.53850620269531291</v>
      </c>
    </row>
    <row r="113" spans="1:5" x14ac:dyDescent="0.2">
      <c r="A113" s="1" t="s">
        <v>269</v>
      </c>
      <c r="B113" s="1" t="s">
        <v>145</v>
      </c>
      <c r="C113" s="1">
        <v>-653.29945581000004</v>
      </c>
      <c r="D113" s="1">
        <f>7*$H$5+7*$H$7+6*$H$9+6*$H$10+6*$H$11+13*$H$13+19*$H$12</f>
        <v>-620.05709972249997</v>
      </c>
      <c r="E113" s="1">
        <f>(C113-D113)/64</f>
        <v>-0.5194118138671886</v>
      </c>
    </row>
    <row r="114" spans="1:5" x14ac:dyDescent="0.2">
      <c r="A114" s="1" t="s">
        <v>270</v>
      </c>
      <c r="B114" s="1" t="s">
        <v>146</v>
      </c>
      <c r="C114" s="1">
        <v>-638.36391653999999</v>
      </c>
      <c r="D114" s="1">
        <f>7*$H$3+7*$H$7+6*$H$10+6*$H$9+6*$H$11+13*$H$13+19*$H$12</f>
        <v>-605.66030699750002</v>
      </c>
      <c r="E114" s="1">
        <f>(C114-D114)/64</f>
        <v>-0.51099389910156212</v>
      </c>
    </row>
    <row r="115" spans="1:5" x14ac:dyDescent="0.2">
      <c r="A115" s="1" t="s">
        <v>271</v>
      </c>
      <c r="B115" s="1" t="s">
        <v>147</v>
      </c>
      <c r="C115" s="1">
        <v>-652.71679663999998</v>
      </c>
      <c r="D115" s="1">
        <f>7*$H$6+7*$H$7+6*$H$9+6*$H$8+6*$H$11+13*$H$13+19*$H$12</f>
        <v>-620.04682479749999</v>
      </c>
      <c r="E115" s="1">
        <f>(C115-D115)/64</f>
        <v>-0.51046831003906235</v>
      </c>
    </row>
    <row r="116" spans="1:5" x14ac:dyDescent="0.2">
      <c r="A116" s="1" t="s">
        <v>272</v>
      </c>
      <c r="B116" s="1" t="s">
        <v>148</v>
      </c>
      <c r="C116" s="1">
        <v>-651.22004327000002</v>
      </c>
      <c r="D116" s="1">
        <f>7*$H$3+7*$H$8+6*$H$10+6*$H$9+6*$H$11+13*$H$13+19*$H$12</f>
        <v>-618.61005163749996</v>
      </c>
      <c r="E116" s="1">
        <f>(C116-D116)/64</f>
        <v>-0.50953111925781336</v>
      </c>
    </row>
    <row r="117" spans="1:5" x14ac:dyDescent="0.2">
      <c r="A117" s="1" t="s">
        <v>273</v>
      </c>
      <c r="B117" s="1" t="s">
        <v>149</v>
      </c>
      <c r="C117" s="1">
        <v>-659.08631853999998</v>
      </c>
      <c r="D117" s="1">
        <f>7*$H$6+7*$H$7+6*$H$10+6*$H$8+6*$H$11+13*$H$13+19*$H$12</f>
        <v>-626.99144022749999</v>
      </c>
      <c r="E117" s="1">
        <f>(C117-D117)/64</f>
        <v>-0.50148247363281229</v>
      </c>
    </row>
    <row r="118" spans="1:5" x14ac:dyDescent="0.2">
      <c r="A118" s="1" t="s">
        <v>274</v>
      </c>
      <c r="B118" s="1" t="s">
        <v>150</v>
      </c>
      <c r="C118" s="1">
        <v>-665.08880772999998</v>
      </c>
      <c r="D118" s="1">
        <f>7*$H$5+7*$H$8+6*$H$9+6*$H$10+6*$H$11+13*$H$13+19*$H$12</f>
        <v>-633.00684436250003</v>
      </c>
      <c r="E118" s="1">
        <f>(C118-D118)/64</f>
        <v>-0.50128067761718675</v>
      </c>
    </row>
    <row r="119" spans="1:5" x14ac:dyDescent="0.2">
      <c r="A119" s="1" t="s">
        <v>275</v>
      </c>
      <c r="B119" s="1" t="s">
        <v>44</v>
      </c>
      <c r="C119" s="1">
        <v>-640.44451604999995</v>
      </c>
      <c r="D119" s="1">
        <f>7*$H$4+7*$H$7+6*$H$10+6*$H$9+6*$H$11+13*$H$13+19*$H$12</f>
        <v>-609.80408432750005</v>
      </c>
      <c r="E119" s="1">
        <f>(C119-D119)/64</f>
        <v>-0.4787567456640609</v>
      </c>
    </row>
    <row r="120" spans="1:5" x14ac:dyDescent="0.2">
      <c r="A120" s="1" t="s">
        <v>276</v>
      </c>
      <c r="B120" s="1" t="s">
        <v>151</v>
      </c>
      <c r="C120" s="1">
        <v>-629.53716280000003</v>
      </c>
      <c r="D120" s="1">
        <f>7*$H$3+7*$H$6+6*$H$10+6*$H$9+6*$H$11+13*$H$13+19*$H$12</f>
        <v>-599.43166930250004</v>
      </c>
      <c r="E120" s="1">
        <f>(C120-D120)/64</f>
        <v>-0.47039833589843738</v>
      </c>
    </row>
    <row r="121" spans="1:5" x14ac:dyDescent="0.2">
      <c r="A121" s="1" t="s">
        <v>277</v>
      </c>
      <c r="B121" s="1" t="s">
        <v>152</v>
      </c>
      <c r="C121" s="1">
        <v>-643.84930627000006</v>
      </c>
      <c r="D121" s="1">
        <f>7*$H$5+7*$H$6+6*$H$9+6*$H$10+6*$H$11+13*$H$13+19*$H$12</f>
        <v>-613.8284620275</v>
      </c>
      <c r="E121" s="1">
        <f>(C121-D121)/64</f>
        <v>-0.46907569128906346</v>
      </c>
    </row>
    <row r="122" spans="1:5" x14ac:dyDescent="0.2">
      <c r="A122" s="1" t="s">
        <v>278</v>
      </c>
      <c r="B122" s="1" t="s">
        <v>41</v>
      </c>
      <c r="C122" s="1">
        <v>-652.20158137999999</v>
      </c>
      <c r="D122" s="1">
        <f>7*$H$4+7*$H$8+6*$H$10+6*$H$9+6*$H$11+13*$H$13+19*$H$12</f>
        <v>-622.7538289675</v>
      </c>
      <c r="E122" s="1">
        <f>(C122-D122)/64</f>
        <v>-0.46012113144531241</v>
      </c>
    </row>
    <row r="123" spans="1:5" x14ac:dyDescent="0.2">
      <c r="A123" s="1" t="s">
        <v>279</v>
      </c>
      <c r="B123" s="1" t="s">
        <v>40</v>
      </c>
      <c r="C123" s="1">
        <v>-629.98848811000005</v>
      </c>
      <c r="D123" s="1">
        <f>7*$H$4+7*$H$6+6*$H$10+6*$H$9+6*$H$11+13*$H$13+19*$H$12</f>
        <v>-603.57544663249996</v>
      </c>
      <c r="E123" s="1">
        <f>(C123-D123)/64</f>
        <v>-0.41270377308593886</v>
      </c>
    </row>
    <row r="124" spans="1:5" x14ac:dyDescent="0.2">
      <c r="A124" s="1" t="s">
        <v>280</v>
      </c>
      <c r="B124" s="1" t="s">
        <v>153</v>
      </c>
      <c r="C124" s="1">
        <v>-657.96014107999997</v>
      </c>
      <c r="D124" s="1">
        <f>7*$H$7+7*$H$8+6*$H$9+6*$H$10+6*$H$11+13*$H$13+19*$H$12</f>
        <v>-632.89753873250004</v>
      </c>
      <c r="E124" s="1">
        <f>(C124-D124)/64</f>
        <v>-0.39160316167968645</v>
      </c>
    </row>
    <row r="125" spans="1:5" x14ac:dyDescent="0.2">
      <c r="A125" s="1" t="s">
        <v>281</v>
      </c>
      <c r="B125" s="1" t="s">
        <v>154</v>
      </c>
      <c r="C125" s="1">
        <v>-636.88681738000002</v>
      </c>
      <c r="D125" s="1">
        <f>7*$H$6+7*$H$7+6*$H$10+6*$H$9+6*$H$11+13*$H$13+19*$H$12</f>
        <v>-613.7191563975</v>
      </c>
      <c r="E125" s="1">
        <f>(C125-D125)/64</f>
        <v>-0.36199470285156288</v>
      </c>
    </row>
    <row r="126" spans="1:5" x14ac:dyDescent="0.2">
      <c r="A126" s="1" t="s">
        <v>282</v>
      </c>
      <c r="B126" s="1" t="s">
        <v>34</v>
      </c>
      <c r="C126" s="1">
        <v>-634.40905578000002</v>
      </c>
      <c r="D126" s="1">
        <f>7*$H$4+7*$H$6+6*$H$8+6*$H$7+6*$H$11+13*$H$13+19*$H$12</f>
        <v>-612.07561774250007</v>
      </c>
      <c r="E126" s="1">
        <f>(C126-D126)/64</f>
        <v>-0.34895996933593665</v>
      </c>
    </row>
    <row r="127" spans="1:5" x14ac:dyDescent="0.2">
      <c r="A127" s="1" t="s">
        <v>283</v>
      </c>
      <c r="B127" s="1" t="s">
        <v>155</v>
      </c>
      <c r="C127" s="1">
        <v>-648.95916235000004</v>
      </c>
      <c r="D127" s="1">
        <f>7*$H$6+7*$H$8+6*$H$10+6*$H$9+6*$H$11+13*$H$13+19*$H$12</f>
        <v>-626.66890103750006</v>
      </c>
      <c r="E127" s="1">
        <f>(C127-D127)/64</f>
        <v>-0.34828533300781217</v>
      </c>
    </row>
  </sheetData>
  <autoFilter ref="B1:E129" xr:uid="{00000000-0001-0000-0000-000000000000}">
    <sortState xmlns:xlrd2="http://schemas.microsoft.com/office/spreadsheetml/2017/richdata2" ref="B2:E129">
      <sortCondition ref="E1:E129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2015-06-05T18:19:34Z</dcterms:created>
  <dcterms:modified xsi:type="dcterms:W3CDTF">2026-07-08T12:12:57Z</dcterms:modified>
</cp:coreProperties>
</file>